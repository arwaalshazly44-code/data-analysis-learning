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AFA79AB-FDBA-4ED3-962D-719D5767567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Q1_Central_Tendency" sheetId="1" r:id="rId1"/>
    <sheet name="Q2_IQR_1" sheetId="2" r:id="rId2"/>
    <sheet name="Q3_IQR_2" sheetId="3" r:id="rId3"/>
    <sheet name="Q4_Variance" sheetId="4" r:id="rId4"/>
    <sheet name="Q5_STD" sheetId="5" r:id="rId5"/>
    <sheet name="Q6_Correl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4" l="1"/>
  <c r="B26" i="4"/>
  <c r="C27" i="6"/>
  <c r="C18" i="6"/>
  <c r="B18" i="6"/>
  <c r="F17" i="6"/>
  <c r="F8" i="6"/>
  <c r="F9" i="6"/>
  <c r="F10" i="6"/>
  <c r="F11" i="6"/>
  <c r="F12" i="6"/>
  <c r="F13" i="6"/>
  <c r="F14" i="6"/>
  <c r="F15" i="6"/>
  <c r="F16" i="6"/>
  <c r="F7" i="6"/>
  <c r="E8" i="6"/>
  <c r="E9" i="6"/>
  <c r="E10" i="6"/>
  <c r="E11" i="6"/>
  <c r="E12" i="6"/>
  <c r="E13" i="6"/>
  <c r="E14" i="6"/>
  <c r="E15" i="6"/>
  <c r="E16" i="6"/>
  <c r="E7" i="6"/>
  <c r="D8" i="6"/>
  <c r="D9" i="6"/>
  <c r="D10" i="6"/>
  <c r="D11" i="6"/>
  <c r="D12" i="6"/>
  <c r="D13" i="6"/>
  <c r="D14" i="6"/>
  <c r="D15" i="6"/>
  <c r="D16" i="6"/>
  <c r="D7" i="6"/>
  <c r="C17" i="6"/>
  <c r="B17" i="6"/>
  <c r="B26" i="5"/>
  <c r="C26" i="4"/>
  <c r="D7" i="4" a="1"/>
  <c r="D7" i="4" s="1"/>
  <c r="C8" i="4"/>
  <c r="C9" i="4"/>
  <c r="C10" i="4"/>
  <c r="C11" i="4"/>
  <c r="C12" i="4"/>
  <c r="C13" i="4"/>
  <c r="C14" i="4"/>
  <c r="C15" i="4"/>
  <c r="C16" i="4"/>
  <c r="C7" i="4"/>
  <c r="B17" i="4"/>
  <c r="C35" i="3"/>
  <c r="B35" i="3"/>
  <c r="C34" i="3"/>
  <c r="B34" i="3"/>
  <c r="C33" i="3"/>
  <c r="B33" i="3"/>
  <c r="C32" i="3"/>
  <c r="B32" i="3"/>
  <c r="C31" i="3"/>
  <c r="B31" i="3"/>
  <c r="B30" i="2"/>
  <c r="C30" i="2"/>
  <c r="C31" i="2" s="1"/>
  <c r="C28" i="2"/>
  <c r="C29" i="2"/>
  <c r="B29" i="2"/>
  <c r="B28" i="2"/>
  <c r="B31" i="1"/>
  <c r="B30" i="1" a="1"/>
  <c r="B30" i="1" s="1"/>
  <c r="C29" i="1"/>
  <c r="B29" i="1"/>
  <c r="C28" i="1"/>
  <c r="B28" i="1"/>
  <c r="B27" i="6" l="1"/>
  <c r="B3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<sst xmlns="http://schemas.openxmlformats.org/spreadsheetml/2006/main" count="85" uniqueCount="71">
  <si>
    <t>Question 1 - Mean, Median, Mode &amp; Range</t>
  </si>
  <si>
    <t>The following data represents the number of tasks completed by 12 employees during one week.</t>
  </si>
  <si>
    <t>Employee</t>
  </si>
  <si>
    <t>Tasks Completed</t>
  </si>
  <si>
    <t>Required</t>
  </si>
  <si>
    <t>1. Calculate the Mean.
2. Calculate the Median.
3. Calculate the Mode.
4. Calculate the Range.</t>
  </si>
  <si>
    <t>Question 2 - Interquartile Range (IQR)</t>
  </si>
  <si>
    <t>The following data represents exam scores for 12 students.</t>
  </si>
  <si>
    <t>Student</t>
  </si>
  <si>
    <t>Score</t>
  </si>
  <si>
    <t>1. Calculate Q1.
2. Calculate Q3.
3. Calculate IQR = Q3 - Q1.
4. State the middle 50% interval.</t>
  </si>
  <si>
    <t>Question 3 - IQR and Outlier Check</t>
  </si>
  <si>
    <t>The following data represents delivery times in minutes for 14 orders.</t>
  </si>
  <si>
    <t>Order</t>
  </si>
  <si>
    <t>Delivery Time</t>
  </si>
  <si>
    <t>1. Calculate Q1 and Q3.
2. Calculate IQR.
3. Calculate the Lower Fence.
4. Calculate the Upper Fence.
5. Identify possible outliers.</t>
  </si>
  <si>
    <t>Question 4 - Variance</t>
  </si>
  <si>
    <t>The following sample contains the performance scores of 10 employees.</t>
  </si>
  <si>
    <t>Performance Score</t>
  </si>
  <si>
    <t>1. Calculate the sample variance using Excel.
2. Explain what a larger variance means.</t>
  </si>
  <si>
    <t>Question 5 - Standard Deviation</t>
  </si>
  <si>
    <t>The following sample contains the daily production output of 10 machines.</t>
  </si>
  <si>
    <t>Machine</t>
  </si>
  <si>
    <t>Units Produced</t>
  </si>
  <si>
    <t>1. Calculate the sample standard deviation using Excel.
2. Interpret the result in one sentence.</t>
  </si>
  <si>
    <t>Question 6 - Correlation</t>
  </si>
  <si>
    <t>A company wants to study the relationship between weekly training hours and employee productivity.</t>
  </si>
  <si>
    <t>Training Hours</t>
  </si>
  <si>
    <t>Productivity Score</t>
  </si>
  <si>
    <t>1. Calculate the correlation coefficient.
2. State whether it is positive or negative.
3. Classify it as weak, moderate, or strong.</t>
  </si>
  <si>
    <t>Answers</t>
  </si>
  <si>
    <t>1-Mean</t>
  </si>
  <si>
    <t>2-Median</t>
  </si>
  <si>
    <t>3-Mode</t>
  </si>
  <si>
    <t>4-Range</t>
  </si>
  <si>
    <t>1- IQ2=</t>
  </si>
  <si>
    <t>2-IQ1=</t>
  </si>
  <si>
    <t>3-IQ3=</t>
  </si>
  <si>
    <t>4-IQR=</t>
  </si>
  <si>
    <t>5-State the middle 50% interval.</t>
  </si>
  <si>
    <t>[61,81]</t>
  </si>
  <si>
    <t>[61.5,80.25]</t>
  </si>
  <si>
    <t>1-IQ1=</t>
  </si>
  <si>
    <t>2-IQ3=</t>
  </si>
  <si>
    <t>3-IQR=</t>
  </si>
  <si>
    <t>4-Lower=</t>
  </si>
  <si>
    <t>5-upper=</t>
  </si>
  <si>
    <t>6-Identify possible outliers</t>
  </si>
  <si>
    <t>No outliers</t>
  </si>
  <si>
    <t>1-Variance=</t>
  </si>
  <si>
    <t>Xi-MEAN</t>
  </si>
  <si>
    <t>(Xi-MEAN)2</t>
  </si>
  <si>
    <r>
      <t xml:space="preserve"> data is more spread out from </t>
    </r>
    <r>
      <rPr>
        <b/>
        <sz val="11"/>
        <rFont val="Carlito"/>
      </rPr>
      <t>M</t>
    </r>
    <r>
      <rPr>
        <sz val="11"/>
        <rFont val="Carlito"/>
      </rPr>
      <t>ean</t>
    </r>
  </si>
  <si>
    <t>Using Excel :</t>
  </si>
  <si>
    <t>Using Equation</t>
  </si>
  <si>
    <t>2- Explain what a larger variance mean</t>
  </si>
  <si>
    <t>1-STD=</t>
  </si>
  <si>
    <t>2-Interpret the result in one sentence.</t>
  </si>
  <si>
    <t>values are spread out by about 5.87 units from the mean</t>
  </si>
  <si>
    <t>r=SUM((X-X̄)*(Y-Ȳ))/N*STD X*STD Y</t>
  </si>
  <si>
    <t>1-r=</t>
  </si>
  <si>
    <t>Using Excel:</t>
  </si>
  <si>
    <t>Mean=</t>
  </si>
  <si>
    <t>Std=</t>
  </si>
  <si>
    <t>X-X̄</t>
  </si>
  <si>
    <t>Y-Ȳ</t>
  </si>
  <si>
    <t>(X-X̄)*(Y-Ȳ)</t>
  </si>
  <si>
    <t>2- positive or negative.</t>
  </si>
  <si>
    <t>Positive correlation</t>
  </si>
  <si>
    <t>Strong correlation</t>
  </si>
  <si>
    <t>3- weak, moderate, or 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</si>
</sst>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7F6000"/>
      <name val="Carlito"/>
    </font>
    <font>
      <sz val="11"/>
      <color theme="0"/>
      <name val="Carlito"/>
    </font>
    <font>
      <b/>
      <sz val="11"/>
      <color theme="0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vertical="center" wrapText="1"/>
    </xf>
    <xf numFmtId="0" fontId="5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/>
    <xf numFmtId="0" fontId="0" fillId="10" borderId="0" xfId="0" applyFill="1"/>
    <xf numFmtId="0" fontId="5" fillId="9" borderId="0" xfId="0" applyFont="1" applyFill="1" applyAlignment="1">
      <alignment horizontal="center" vertical="top"/>
    </xf>
    <xf numFmtId="0" fontId="5" fillId="9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0" fillId="0" borderId="1" xfId="0" applyBorder="1"/>
    <xf numFmtId="0" fontId="0" fillId="10" borderId="1" xfId="0" applyFill="1" applyBorder="1"/>
    <xf numFmtId="0" fontId="6" fillId="11" borderId="0" xfId="0" applyFont="1" applyFill="1" applyAlignment="1">
      <alignment horizontal="center"/>
    </xf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Q6_Correlation!$B$7:$B$16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11</c:v>
                </c:pt>
                <c:pt idx="7">
                  <c:v>12</c:v>
                </c:pt>
                <c:pt idx="8">
                  <c:v>14</c:v>
                </c:pt>
                <c:pt idx="9">
                  <c:v>15</c:v>
                </c:pt>
              </c:numCache>
            </c:numRef>
          </c:xVal>
          <c:yVal>
            <c:numRef>
              <c:f>Q6_Correlation!$C$7:$C$16</c:f>
              <c:numCache>
                <c:formatCode>General</c:formatCode>
                <c:ptCount val="10"/>
                <c:pt idx="0">
                  <c:v>50</c:v>
                </c:pt>
                <c:pt idx="1">
                  <c:v>55</c:v>
                </c:pt>
                <c:pt idx="2">
                  <c:v>62</c:v>
                </c:pt>
                <c:pt idx="3">
                  <c:v>65</c:v>
                </c:pt>
                <c:pt idx="4">
                  <c:v>72</c:v>
                </c:pt>
                <c:pt idx="5">
                  <c:v>75</c:v>
                </c:pt>
                <c:pt idx="6">
                  <c:v>82</c:v>
                </c:pt>
                <c:pt idx="7">
                  <c:v>85</c:v>
                </c:pt>
                <c:pt idx="8">
                  <c:v>90</c:v>
                </c:pt>
                <c:pt idx="9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E2-4E54-9B77-9F64EFF357A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867567200"/>
        <c:axId val="1874591536"/>
      </c:scatterChart>
      <c:valAx>
        <c:axId val="186756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591536"/>
        <c:crosses val="autoZero"/>
        <c:crossBetween val="midCat"/>
      </c:valAx>
      <c:valAx>
        <c:axId val="187459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56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</xdr:colOff>
      <xdr:row>4</xdr:row>
      <xdr:rowOff>152400</xdr:rowOff>
    </xdr:from>
    <xdr:to>
      <xdr:col>11</xdr:col>
      <xdr:colOff>87630</xdr:colOff>
      <xdr:row>17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E004A-5EB1-6CA0-720C-2C6ADF538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opLeftCell="A4" workbookViewId="0">
      <selection activeCell="A22" sqref="A22:D25"/>
    </sheetView>
  </sheetViews>
  <sheetFormatPr defaultRowHeight="13.8"/>
  <cols>
    <col min="1" max="1" width="16" customWidth="1"/>
    <col min="2" max="4" width="22" customWidth="1"/>
  </cols>
  <sheetData>
    <row r="1" spans="1:4" ht="18.600000000000001" customHeight="1">
      <c r="A1" s="2" t="s">
        <v>0</v>
      </c>
      <c r="B1" s="2"/>
      <c r="C1" s="2"/>
      <c r="D1" s="2"/>
    </row>
    <row r="3" spans="1:4">
      <c r="A3" s="3" t="s">
        <v>1</v>
      </c>
      <c r="B3" s="3"/>
      <c r="C3" s="3"/>
      <c r="D3" s="3"/>
    </row>
    <row r="4" spans="1:4">
      <c r="A4" s="3"/>
      <c r="B4" s="3"/>
      <c r="C4" s="3"/>
      <c r="D4" s="3"/>
    </row>
    <row r="6" spans="1:4">
      <c r="A6" s="1" t="s">
        <v>2</v>
      </c>
      <c r="B6" s="1" t="s">
        <v>3</v>
      </c>
    </row>
    <row r="7" spans="1:4">
      <c r="A7">
        <v>1</v>
      </c>
      <c r="B7">
        <v>12</v>
      </c>
    </row>
    <row r="8" spans="1:4">
      <c r="A8">
        <v>12</v>
      </c>
      <c r="B8">
        <v>14</v>
      </c>
    </row>
    <row r="9" spans="1:4">
      <c r="A9">
        <v>2</v>
      </c>
      <c r="B9">
        <v>15</v>
      </c>
    </row>
    <row r="10" spans="1:4">
      <c r="A10">
        <v>11</v>
      </c>
      <c r="B10">
        <v>16</v>
      </c>
    </row>
    <row r="11" spans="1:4">
      <c r="A11">
        <v>3</v>
      </c>
      <c r="B11">
        <v>18</v>
      </c>
    </row>
    <row r="12" spans="1:4">
      <c r="A12">
        <v>4</v>
      </c>
      <c r="B12">
        <v>18</v>
      </c>
    </row>
    <row r="13" spans="1:4">
      <c r="A13">
        <v>8</v>
      </c>
      <c r="B13">
        <v>18</v>
      </c>
    </row>
    <row r="14" spans="1:4">
      <c r="A14">
        <v>5</v>
      </c>
      <c r="B14">
        <v>20</v>
      </c>
    </row>
    <row r="15" spans="1:4">
      <c r="A15">
        <v>6</v>
      </c>
      <c r="B15">
        <v>22</v>
      </c>
    </row>
    <row r="16" spans="1:4">
      <c r="A16">
        <v>7</v>
      </c>
      <c r="B16">
        <v>24</v>
      </c>
    </row>
    <row r="17" spans="1:4">
      <c r="A17">
        <v>10</v>
      </c>
      <c r="B17">
        <v>25</v>
      </c>
    </row>
    <row r="18" spans="1:4">
      <c r="A18">
        <v>9</v>
      </c>
      <c r="B18">
        <v>30</v>
      </c>
    </row>
    <row r="21" spans="1:4">
      <c r="A21" s="4" t="s">
        <v>4</v>
      </c>
      <c r="B21" s="4"/>
      <c r="C21" s="4"/>
      <c r="D21" s="4"/>
    </row>
    <row r="22" spans="1:4">
      <c r="A22" s="5" t="s">
        <v>5</v>
      </c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  <row r="25" spans="1:4">
      <c r="A25" s="5"/>
      <c r="B25" s="5"/>
      <c r="C25" s="5"/>
      <c r="D25" s="5"/>
    </row>
    <row r="27" spans="1:4">
      <c r="A27" s="6" t="s">
        <v>30</v>
      </c>
      <c r="B27" s="6"/>
      <c r="C27" s="6"/>
      <c r="D27" s="6"/>
    </row>
    <row r="28" spans="1:4">
      <c r="A28" t="s">
        <v>31</v>
      </c>
      <c r="B28">
        <f>AVERAGE(B7:B18)</f>
        <v>19.333333333333332</v>
      </c>
      <c r="C28">
        <f>SUM(B7:B18)/12</f>
        <v>19.333333333333332</v>
      </c>
    </row>
    <row r="29" spans="1:4">
      <c r="A29" t="s">
        <v>32</v>
      </c>
      <c r="B29">
        <f>MEDIAN(B7:B18)</f>
        <v>18</v>
      </c>
      <c r="C29">
        <f>SUM(B12:B13)/2</f>
        <v>18</v>
      </c>
    </row>
    <row r="30" spans="1:4">
      <c r="A30" t="s">
        <v>33</v>
      </c>
      <c r="B30" cm="1">
        <f t="array" ref="B30">_xlfn.MODE.MULT(B7:B18)</f>
        <v>18</v>
      </c>
      <c r="C30">
        <v>18</v>
      </c>
    </row>
    <row r="31" spans="1:4">
      <c r="A31" t="s">
        <v>34</v>
      </c>
      <c r="B31">
        <f>30-12</f>
        <v>18</v>
      </c>
    </row>
  </sheetData>
  <sortState xmlns:xlrd2="http://schemas.microsoft.com/office/spreadsheetml/2017/richdata2" ref="A7:B18">
    <sortCondition ref="B6:B18"/>
  </sortState>
  <mergeCells count="5">
    <mergeCell ref="A1:D1"/>
    <mergeCell ref="A3:D4"/>
    <mergeCell ref="A21:D21"/>
    <mergeCell ref="A22:D25"/>
    <mergeCell ref="A27:D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topLeftCell="B10" zoomScale="108" workbookViewId="0">
      <selection activeCell="E26" sqref="E26"/>
    </sheetView>
  </sheetViews>
  <sheetFormatPr defaultRowHeight="13.8"/>
  <cols>
    <col min="1" max="1" width="26.69921875" bestFit="1" customWidth="1"/>
    <col min="2" max="4" width="22" customWidth="1"/>
  </cols>
  <sheetData>
    <row r="1" spans="1:4" ht="18.600000000000001" customHeight="1">
      <c r="A1" s="2" t="s">
        <v>6</v>
      </c>
      <c r="B1" s="2"/>
      <c r="C1" s="2"/>
      <c r="D1" s="2"/>
    </row>
    <row r="3" spans="1:4">
      <c r="A3" s="3" t="s">
        <v>7</v>
      </c>
      <c r="B3" s="3"/>
      <c r="C3" s="3"/>
      <c r="D3" s="3"/>
    </row>
    <row r="4" spans="1:4">
      <c r="A4" s="3"/>
      <c r="B4" s="3"/>
      <c r="C4" s="3"/>
      <c r="D4" s="3"/>
    </row>
    <row r="6" spans="1:4">
      <c r="A6" s="1" t="s">
        <v>8</v>
      </c>
      <c r="B6" s="1" t="s">
        <v>9</v>
      </c>
    </row>
    <row r="7" spans="1:4">
      <c r="A7">
        <v>1</v>
      </c>
      <c r="B7">
        <v>42</v>
      </c>
    </row>
    <row r="8" spans="1:4">
      <c r="A8">
        <v>2</v>
      </c>
      <c r="B8">
        <v>55</v>
      </c>
    </row>
    <row r="9" spans="1:4">
      <c r="A9">
        <v>3</v>
      </c>
      <c r="B9">
        <v>61</v>
      </c>
    </row>
    <row r="10" spans="1:4">
      <c r="A10">
        <v>4</v>
      </c>
      <c r="B10">
        <v>63</v>
      </c>
    </row>
    <row r="11" spans="1:4">
      <c r="A11">
        <v>5</v>
      </c>
      <c r="B11">
        <v>67</v>
      </c>
    </row>
    <row r="12" spans="1:4">
      <c r="A12">
        <v>6</v>
      </c>
      <c r="B12">
        <v>70</v>
      </c>
    </row>
    <row r="13" spans="1:4">
      <c r="A13">
        <v>7</v>
      </c>
      <c r="B13">
        <v>72</v>
      </c>
    </row>
    <row r="14" spans="1:4">
      <c r="A14">
        <v>8</v>
      </c>
      <c r="B14">
        <v>75</v>
      </c>
    </row>
    <row r="15" spans="1:4">
      <c r="A15">
        <v>9</v>
      </c>
      <c r="B15">
        <v>78</v>
      </c>
    </row>
    <row r="16" spans="1:4">
      <c r="A16">
        <v>10</v>
      </c>
      <c r="B16">
        <v>81</v>
      </c>
    </row>
    <row r="17" spans="1:4">
      <c r="A17">
        <v>11</v>
      </c>
      <c r="B17">
        <v>88</v>
      </c>
    </row>
    <row r="18" spans="1:4">
      <c r="A18">
        <v>12</v>
      </c>
      <c r="B18">
        <v>95</v>
      </c>
    </row>
    <row r="21" spans="1:4">
      <c r="A21" s="4" t="s">
        <v>4</v>
      </c>
      <c r="B21" s="4"/>
      <c r="C21" s="4"/>
      <c r="D21" s="4"/>
    </row>
    <row r="22" spans="1:4">
      <c r="A22" s="5" t="s">
        <v>10</v>
      </c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  <row r="25" spans="1:4">
      <c r="A25" s="5"/>
      <c r="B25" s="5"/>
      <c r="C25" s="5"/>
      <c r="D25" s="5"/>
    </row>
    <row r="26" spans="1:4">
      <c r="C26" s="7" t="s">
        <v>61</v>
      </c>
    </row>
    <row r="27" spans="1:4">
      <c r="A27" s="6" t="s">
        <v>30</v>
      </c>
      <c r="B27" s="6"/>
      <c r="C27" s="6"/>
      <c r="D27" s="6"/>
    </row>
    <row r="28" spans="1:4">
      <c r="A28" t="s">
        <v>35</v>
      </c>
      <c r="B28">
        <f>MEDIAN(B7:B18)</f>
        <v>71</v>
      </c>
      <c r="C28">
        <f>_xlfn.QUARTILE.EXC(B7:B18,2)</f>
        <v>71</v>
      </c>
    </row>
    <row r="29" spans="1:4">
      <c r="A29" t="s">
        <v>36</v>
      </c>
      <c r="B29">
        <f>MEDIAN(B7:B11)</f>
        <v>61</v>
      </c>
      <c r="C29">
        <f>_xlfn.QUARTILE.EXC(B7:B18,1)</f>
        <v>61.5</v>
      </c>
    </row>
    <row r="30" spans="1:4">
      <c r="A30" t="s">
        <v>37</v>
      </c>
      <c r="B30">
        <f>MEDIAN(B14:B18)</f>
        <v>81</v>
      </c>
      <c r="C30">
        <f>_xlfn.QUARTILE.EXC(B7:B18,3)</f>
        <v>80.25</v>
      </c>
    </row>
    <row r="31" spans="1:4">
      <c r="A31" t="s">
        <v>38</v>
      </c>
      <c r="B31">
        <f>B30-B29</f>
        <v>20</v>
      </c>
      <c r="C31">
        <f>C30-C29</f>
        <v>18.75</v>
      </c>
    </row>
    <row r="32" spans="1:4">
      <c r="A32" t="s">
        <v>39</v>
      </c>
      <c r="B32" t="s">
        <v>40</v>
      </c>
      <c r="C32" t="s">
        <v>41</v>
      </c>
    </row>
  </sheetData>
  <sortState xmlns:xlrd2="http://schemas.microsoft.com/office/spreadsheetml/2017/richdata2" ref="A7:B18">
    <sortCondition ref="B6:B18"/>
  </sortState>
  <mergeCells count="5">
    <mergeCell ref="A1:D1"/>
    <mergeCell ref="A3:D4"/>
    <mergeCell ref="A21:D21"/>
    <mergeCell ref="A22:D25"/>
    <mergeCell ref="A27:D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topLeftCell="A18" zoomScale="108" workbookViewId="0">
      <selection activeCell="D34" sqref="D34"/>
    </sheetView>
  </sheetViews>
  <sheetFormatPr defaultRowHeight="13.8"/>
  <cols>
    <col min="1" max="1" width="21.8984375" bestFit="1" customWidth="1"/>
    <col min="2" max="4" width="22" customWidth="1"/>
  </cols>
  <sheetData>
    <row r="1" spans="1:4" ht="18.600000000000001" customHeight="1">
      <c r="A1" s="2" t="s">
        <v>11</v>
      </c>
      <c r="B1" s="2"/>
      <c r="C1" s="2"/>
      <c r="D1" s="2"/>
    </row>
    <row r="3" spans="1:4">
      <c r="A3" s="3" t="s">
        <v>12</v>
      </c>
      <c r="B3" s="3"/>
      <c r="C3" s="3"/>
      <c r="D3" s="3"/>
    </row>
    <row r="4" spans="1:4">
      <c r="A4" s="3"/>
      <c r="B4" s="3"/>
      <c r="C4" s="3"/>
      <c r="D4" s="3"/>
    </row>
    <row r="6" spans="1:4">
      <c r="A6" s="1" t="s">
        <v>13</v>
      </c>
      <c r="B6" s="1" t="s">
        <v>14</v>
      </c>
    </row>
    <row r="7" spans="1:4">
      <c r="A7">
        <v>1</v>
      </c>
      <c r="B7">
        <v>5</v>
      </c>
    </row>
    <row r="8" spans="1:4">
      <c r="A8">
        <v>2</v>
      </c>
      <c r="B8">
        <v>7</v>
      </c>
    </row>
    <row r="9" spans="1:4">
      <c r="A9">
        <v>3</v>
      </c>
      <c r="B9">
        <v>8</v>
      </c>
    </row>
    <row r="10" spans="1:4">
      <c r="A10">
        <v>4</v>
      </c>
      <c r="B10">
        <v>9</v>
      </c>
    </row>
    <row r="11" spans="1:4">
      <c r="A11">
        <v>5</v>
      </c>
      <c r="B11">
        <v>10</v>
      </c>
    </row>
    <row r="12" spans="1:4">
      <c r="A12">
        <v>6</v>
      </c>
      <c r="B12">
        <v>12</v>
      </c>
    </row>
    <row r="13" spans="1:4">
      <c r="A13">
        <v>7</v>
      </c>
      <c r="B13">
        <v>13</v>
      </c>
    </row>
    <row r="14" spans="1:4">
      <c r="A14">
        <v>8</v>
      </c>
      <c r="B14">
        <v>14</v>
      </c>
    </row>
    <row r="15" spans="1:4">
      <c r="A15">
        <v>9</v>
      </c>
      <c r="B15">
        <v>16</v>
      </c>
    </row>
    <row r="16" spans="1:4">
      <c r="A16">
        <v>10</v>
      </c>
      <c r="B16">
        <v>18</v>
      </c>
    </row>
    <row r="17" spans="1:4">
      <c r="A17">
        <v>11</v>
      </c>
      <c r="B17">
        <v>20</v>
      </c>
    </row>
    <row r="18" spans="1:4">
      <c r="A18">
        <v>12</v>
      </c>
      <c r="B18">
        <v>25</v>
      </c>
    </row>
    <row r="19" spans="1:4">
      <c r="A19">
        <v>13</v>
      </c>
      <c r="B19">
        <v>30</v>
      </c>
    </row>
    <row r="20" spans="1:4">
      <c r="A20">
        <v>14</v>
      </c>
      <c r="B20">
        <v>40</v>
      </c>
    </row>
    <row r="23" spans="1:4">
      <c r="A23" s="4" t="s">
        <v>4</v>
      </c>
      <c r="B23" s="4"/>
      <c r="C23" s="4"/>
      <c r="D23" s="4"/>
    </row>
    <row r="24" spans="1:4">
      <c r="A24" s="5" t="s">
        <v>15</v>
      </c>
      <c r="B24" s="5"/>
      <c r="C24" s="5"/>
      <c r="D24" s="5"/>
    </row>
    <row r="25" spans="1:4">
      <c r="A25" s="5"/>
      <c r="B25" s="5"/>
      <c r="C25" s="5"/>
      <c r="D25" s="5"/>
    </row>
    <row r="26" spans="1:4">
      <c r="A26" s="5"/>
      <c r="B26" s="5"/>
      <c r="C26" s="5"/>
      <c r="D26" s="5"/>
    </row>
    <row r="27" spans="1:4">
      <c r="A27" s="5"/>
      <c r="B27" s="5"/>
      <c r="C27" s="5"/>
      <c r="D27" s="5"/>
    </row>
    <row r="29" spans="1:4">
      <c r="C29" s="7" t="s">
        <v>61</v>
      </c>
    </row>
    <row r="30" spans="1:4">
      <c r="A30" s="6" t="s">
        <v>30</v>
      </c>
      <c r="B30" s="6"/>
      <c r="C30" s="6"/>
      <c r="D30" s="6"/>
    </row>
    <row r="31" spans="1:4">
      <c r="A31" t="s">
        <v>42</v>
      </c>
      <c r="B31">
        <f>MEDIAN(B7:B12)</f>
        <v>8.5</v>
      </c>
      <c r="C31">
        <f>_xlfn.QUARTILE.EXC(B7:B20,1)</f>
        <v>8.75</v>
      </c>
    </row>
    <row r="32" spans="1:4">
      <c r="A32" t="s">
        <v>43</v>
      </c>
      <c r="B32">
        <f>MEDIAN(B15:B20)</f>
        <v>22.5</v>
      </c>
      <c r="C32">
        <f>_xlfn.QUARTILE.EXC(B7:B20,3)</f>
        <v>21.25</v>
      </c>
    </row>
    <row r="33" spans="1:3">
      <c r="A33" t="s">
        <v>44</v>
      </c>
      <c r="B33">
        <f>B32-B31</f>
        <v>14</v>
      </c>
      <c r="C33">
        <f>C32-C31</f>
        <v>12.5</v>
      </c>
    </row>
    <row r="34" spans="1:3">
      <c r="A34" t="s">
        <v>45</v>
      </c>
      <c r="B34">
        <f>B31-1.5*B33</f>
        <v>-12.5</v>
      </c>
      <c r="C34">
        <f>C31-1.5*C33</f>
        <v>-10</v>
      </c>
    </row>
    <row r="35" spans="1:3">
      <c r="A35" t="s">
        <v>46</v>
      </c>
      <c r="B35">
        <f>B32+1.5*B33</f>
        <v>43.5</v>
      </c>
      <c r="C35">
        <f>C32+1.5*C33</f>
        <v>40</v>
      </c>
    </row>
    <row r="36" spans="1:3">
      <c r="A36" t="s">
        <v>47</v>
      </c>
      <c r="B36" s="8" t="s">
        <v>48</v>
      </c>
      <c r="C36" s="8"/>
    </row>
  </sheetData>
  <mergeCells count="6">
    <mergeCell ref="B36:C36"/>
    <mergeCell ref="A1:D1"/>
    <mergeCell ref="A3:D4"/>
    <mergeCell ref="A23:D23"/>
    <mergeCell ref="A24:D27"/>
    <mergeCell ref="A30:D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tabSelected="1" workbookViewId="0">
      <selection activeCell="D17" sqref="D17"/>
    </sheetView>
  </sheetViews>
  <sheetFormatPr defaultRowHeight="13.8"/>
  <cols>
    <col min="1" max="1" width="32.19921875" bestFit="1" customWidth="1"/>
    <col min="2" max="2" width="35.8984375" bestFit="1" customWidth="1"/>
    <col min="3" max="4" width="22" customWidth="1"/>
  </cols>
  <sheetData>
    <row r="1" spans="1:4" ht="18.600000000000001" customHeight="1">
      <c r="A1" s="2" t="s">
        <v>16</v>
      </c>
      <c r="B1" s="2"/>
      <c r="C1" s="2"/>
      <c r="D1" s="2"/>
    </row>
    <row r="3" spans="1:4">
      <c r="A3" s="3" t="s">
        <v>17</v>
      </c>
      <c r="B3" s="3"/>
      <c r="C3" s="3"/>
      <c r="D3" s="3"/>
    </row>
    <row r="4" spans="1:4">
      <c r="A4" s="3"/>
      <c r="B4" s="3"/>
      <c r="C4" s="3"/>
      <c r="D4" s="3"/>
    </row>
    <row r="6" spans="1:4">
      <c r="A6" s="1" t="s">
        <v>2</v>
      </c>
      <c r="B6" s="1" t="s">
        <v>18</v>
      </c>
      <c r="C6" s="11" t="s">
        <v>50</v>
      </c>
      <c r="D6" s="12" t="s">
        <v>51</v>
      </c>
    </row>
    <row r="7" spans="1:4">
      <c r="A7">
        <v>1</v>
      </c>
      <c r="B7">
        <v>68</v>
      </c>
      <c r="C7">
        <f>B7-$B$17</f>
        <v>-7.2999999999999972</v>
      </c>
      <c r="D7" cm="1">
        <f t="array" ref="D7:D16">POWER(C7:C16,2)</f>
        <v>53.289999999999957</v>
      </c>
    </row>
    <row r="8" spans="1:4">
      <c r="A8">
        <v>2</v>
      </c>
      <c r="B8">
        <v>72</v>
      </c>
      <c r="C8">
        <f t="shared" ref="C8:C16" si="0">B8-$B$17</f>
        <v>-3.2999999999999972</v>
      </c>
      <c r="D8">
        <v>10.889999999999981</v>
      </c>
    </row>
    <row r="9" spans="1:4">
      <c r="A9">
        <v>3</v>
      </c>
      <c r="B9">
        <v>75</v>
      </c>
      <c r="C9">
        <f t="shared" si="0"/>
        <v>-0.29999999999999716</v>
      </c>
      <c r="D9">
        <v>8.999999999999829E-2</v>
      </c>
    </row>
    <row r="10" spans="1:4">
      <c r="A10">
        <v>4</v>
      </c>
      <c r="B10">
        <v>70</v>
      </c>
      <c r="C10">
        <f t="shared" si="0"/>
        <v>-5.2999999999999972</v>
      </c>
      <c r="D10">
        <v>28.089999999999971</v>
      </c>
    </row>
    <row r="11" spans="1:4">
      <c r="A11">
        <v>5</v>
      </c>
      <c r="B11">
        <v>80</v>
      </c>
      <c r="C11">
        <f t="shared" si="0"/>
        <v>4.7000000000000028</v>
      </c>
      <c r="D11">
        <v>22.090000000000028</v>
      </c>
    </row>
    <row r="12" spans="1:4">
      <c r="A12">
        <v>6</v>
      </c>
      <c r="B12">
        <v>85</v>
      </c>
      <c r="C12">
        <f t="shared" si="0"/>
        <v>9.7000000000000028</v>
      </c>
      <c r="D12">
        <v>94.09000000000006</v>
      </c>
    </row>
    <row r="13" spans="1:4">
      <c r="A13">
        <v>7</v>
      </c>
      <c r="B13">
        <v>78</v>
      </c>
      <c r="C13">
        <f t="shared" si="0"/>
        <v>2.7000000000000028</v>
      </c>
      <c r="D13">
        <v>7.2900000000000151</v>
      </c>
    </row>
    <row r="14" spans="1:4">
      <c r="A14">
        <v>8</v>
      </c>
      <c r="B14">
        <v>74</v>
      </c>
      <c r="C14">
        <f t="shared" si="0"/>
        <v>-1.2999999999999972</v>
      </c>
      <c r="D14">
        <v>1.6899999999999926</v>
      </c>
    </row>
    <row r="15" spans="1:4">
      <c r="A15">
        <v>9</v>
      </c>
      <c r="B15">
        <v>69</v>
      </c>
      <c r="C15">
        <f t="shared" si="0"/>
        <v>-6.2999999999999972</v>
      </c>
      <c r="D15">
        <v>39.689999999999962</v>
      </c>
    </row>
    <row r="16" spans="1:4">
      <c r="A16">
        <v>10</v>
      </c>
      <c r="B16">
        <v>82</v>
      </c>
      <c r="C16">
        <f t="shared" si="0"/>
        <v>6.7000000000000028</v>
      </c>
      <c r="D16">
        <v>44.890000000000036</v>
      </c>
    </row>
    <row r="17" spans="1:4">
      <c r="B17" s="9">
        <f>AVERAGE(B7:B16)</f>
        <v>75.3</v>
      </c>
      <c r="D17" s="10">
        <f>SUM(D7:D16)</f>
        <v>302.10000000000002</v>
      </c>
    </row>
    <row r="19" spans="1:4">
      <c r="A19" s="4" t="s">
        <v>4</v>
      </c>
      <c r="B19" s="4"/>
      <c r="C19" s="4"/>
      <c r="D19" s="4"/>
    </row>
    <row r="20" spans="1:4">
      <c r="A20" s="5" t="s">
        <v>19</v>
      </c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B24" t="s">
        <v>54</v>
      </c>
      <c r="C24" t="s">
        <v>53</v>
      </c>
    </row>
    <row r="25" spans="1:4">
      <c r="A25" s="6" t="s">
        <v>30</v>
      </c>
      <c r="B25" s="6"/>
      <c r="C25" s="6"/>
      <c r="D25" s="6"/>
    </row>
    <row r="26" spans="1:4">
      <c r="A26" t="s">
        <v>49</v>
      </c>
      <c r="B26">
        <f>$D$17/(10-1)</f>
        <v>33.56666666666667</v>
      </c>
      <c r="C26">
        <f>_xlfn.VAR.S(B7:B16)</f>
        <v>33.56666666666667</v>
      </c>
    </row>
    <row r="27" spans="1:4">
      <c r="A27" t="s">
        <v>55</v>
      </c>
      <c r="B27" t="s">
        <v>52</v>
      </c>
    </row>
  </sheetData>
  <mergeCells count="5">
    <mergeCell ref="A1:D1"/>
    <mergeCell ref="A3:D4"/>
    <mergeCell ref="A19:D19"/>
    <mergeCell ref="A20:D23"/>
    <mergeCell ref="A25:D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zoomScale="113" workbookViewId="0">
      <selection activeCell="A25" sqref="A25:D25"/>
    </sheetView>
  </sheetViews>
  <sheetFormatPr defaultRowHeight="13.8"/>
  <cols>
    <col min="1" max="1" width="31.19921875" bestFit="1" customWidth="1"/>
    <col min="2" max="2" width="46.69921875" bestFit="1" customWidth="1"/>
    <col min="3" max="4" width="22" customWidth="1"/>
  </cols>
  <sheetData>
    <row r="1" spans="1:4" ht="18.600000000000001" customHeight="1">
      <c r="A1" s="2" t="s">
        <v>20</v>
      </c>
      <c r="B1" s="2"/>
      <c r="C1" s="2"/>
      <c r="D1" s="2"/>
    </row>
    <row r="3" spans="1:4">
      <c r="A3" s="3" t="s">
        <v>21</v>
      </c>
      <c r="B3" s="3"/>
      <c r="C3" s="3"/>
      <c r="D3" s="3"/>
    </row>
    <row r="4" spans="1:4">
      <c r="A4" s="3"/>
      <c r="B4" s="3"/>
      <c r="C4" s="3"/>
      <c r="D4" s="3"/>
    </row>
    <row r="6" spans="1:4">
      <c r="A6" s="1" t="s">
        <v>22</v>
      </c>
      <c r="B6" s="1" t="s">
        <v>23</v>
      </c>
    </row>
    <row r="7" spans="1:4">
      <c r="A7">
        <v>1</v>
      </c>
      <c r="B7">
        <v>150</v>
      </c>
    </row>
    <row r="8" spans="1:4">
      <c r="A8">
        <v>2</v>
      </c>
      <c r="B8">
        <v>155</v>
      </c>
    </row>
    <row r="9" spans="1:4">
      <c r="A9">
        <v>3</v>
      </c>
      <c r="B9">
        <v>148</v>
      </c>
    </row>
    <row r="10" spans="1:4">
      <c r="A10">
        <v>4</v>
      </c>
      <c r="B10">
        <v>162</v>
      </c>
    </row>
    <row r="11" spans="1:4">
      <c r="A11">
        <v>5</v>
      </c>
      <c r="B11">
        <v>158</v>
      </c>
    </row>
    <row r="12" spans="1:4">
      <c r="A12">
        <v>6</v>
      </c>
      <c r="B12">
        <v>160</v>
      </c>
    </row>
    <row r="13" spans="1:4">
      <c r="A13">
        <v>7</v>
      </c>
      <c r="B13">
        <v>151</v>
      </c>
    </row>
    <row r="14" spans="1:4">
      <c r="A14">
        <v>8</v>
      </c>
      <c r="B14">
        <v>149</v>
      </c>
    </row>
    <row r="15" spans="1:4">
      <c r="A15">
        <v>9</v>
      </c>
      <c r="B15">
        <v>165</v>
      </c>
    </row>
    <row r="16" spans="1:4">
      <c r="A16">
        <v>10</v>
      </c>
      <c r="B16">
        <v>157</v>
      </c>
    </row>
    <row r="19" spans="1:4">
      <c r="A19" s="4" t="s">
        <v>4</v>
      </c>
      <c r="B19" s="4"/>
      <c r="C19" s="4"/>
      <c r="D19" s="4"/>
    </row>
    <row r="20" spans="1:4">
      <c r="A20" s="5" t="s">
        <v>24</v>
      </c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5" spans="1:4">
      <c r="A25" s="13" t="s">
        <v>30</v>
      </c>
      <c r="B25" s="13"/>
      <c r="C25" s="13"/>
      <c r="D25" s="13"/>
    </row>
    <row r="26" spans="1:4">
      <c r="A26" t="s">
        <v>56</v>
      </c>
      <c r="B26">
        <f>_xlfn.STDEV.S(B7:B16)</f>
        <v>5.873670062235365</v>
      </c>
    </row>
    <row r="27" spans="1:4">
      <c r="A27" t="s">
        <v>57</v>
      </c>
      <c r="B27" t="s">
        <v>58</v>
      </c>
    </row>
  </sheetData>
  <mergeCells count="5">
    <mergeCell ref="A1:D1"/>
    <mergeCell ref="A3:D4"/>
    <mergeCell ref="A19:D19"/>
    <mergeCell ref="A20:D23"/>
    <mergeCell ref="A25:D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zoomScale="88" workbookViewId="0">
      <selection activeCell="D12" sqref="D12"/>
    </sheetView>
  </sheetViews>
  <sheetFormatPr defaultRowHeight="13.8"/>
  <cols>
    <col min="1" max="1" width="22.5" bestFit="1" customWidth="1"/>
    <col min="2" max="2" width="31.69921875" bestFit="1" customWidth="1"/>
    <col min="3" max="4" width="22" customWidth="1"/>
    <col min="5" max="5" width="20.296875" customWidth="1"/>
    <col min="6" max="6" width="16" customWidth="1"/>
  </cols>
  <sheetData>
    <row r="1" spans="1:6" ht="18.600000000000001" customHeight="1">
      <c r="A1" s="2" t="s">
        <v>25</v>
      </c>
      <c r="B1" s="2"/>
      <c r="C1" s="2"/>
      <c r="D1" s="2"/>
    </row>
    <row r="3" spans="1:6">
      <c r="A3" s="3" t="s">
        <v>26</v>
      </c>
      <c r="B3" s="3"/>
      <c r="C3" s="3"/>
      <c r="D3" s="3"/>
    </row>
    <row r="4" spans="1:6">
      <c r="A4" s="3"/>
      <c r="B4" s="3"/>
      <c r="C4" s="3"/>
      <c r="D4" s="3"/>
    </row>
    <row r="6" spans="1:6">
      <c r="A6" s="1" t="s">
        <v>2</v>
      </c>
      <c r="B6" s="1" t="s">
        <v>27</v>
      </c>
      <c r="C6" s="1" t="s">
        <v>28</v>
      </c>
      <c r="D6" s="16" t="s">
        <v>64</v>
      </c>
      <c r="E6" s="16" t="s">
        <v>65</v>
      </c>
      <c r="F6" s="16" t="s">
        <v>66</v>
      </c>
    </row>
    <row r="7" spans="1:6">
      <c r="A7">
        <v>1</v>
      </c>
      <c r="B7">
        <v>2</v>
      </c>
      <c r="C7">
        <v>50</v>
      </c>
      <c r="D7">
        <f>B7-$B$17</f>
        <v>-6.5</v>
      </c>
      <c r="E7">
        <f>C7-$C$17</f>
        <v>-23</v>
      </c>
      <c r="F7">
        <f>D7*E7</f>
        <v>149.5</v>
      </c>
    </row>
    <row r="8" spans="1:6">
      <c r="A8">
        <v>2</v>
      </c>
      <c r="B8">
        <v>3</v>
      </c>
      <c r="C8">
        <v>55</v>
      </c>
      <c r="D8">
        <f t="shared" ref="D8:D16" si="0">B8-$B$17</f>
        <v>-5.5</v>
      </c>
      <c r="E8">
        <f t="shared" ref="E8:E16" si="1">C8-$C$17</f>
        <v>-18</v>
      </c>
      <c r="F8">
        <f t="shared" ref="F8:F17" si="2">D8*E8</f>
        <v>99</v>
      </c>
    </row>
    <row r="9" spans="1:6">
      <c r="A9">
        <v>3</v>
      </c>
      <c r="B9">
        <v>5</v>
      </c>
      <c r="C9">
        <v>62</v>
      </c>
      <c r="D9">
        <f t="shared" si="0"/>
        <v>-3.5</v>
      </c>
      <c r="E9">
        <f t="shared" si="1"/>
        <v>-11</v>
      </c>
      <c r="F9">
        <f t="shared" si="2"/>
        <v>38.5</v>
      </c>
    </row>
    <row r="10" spans="1:6">
      <c r="A10">
        <v>4</v>
      </c>
      <c r="B10">
        <v>6</v>
      </c>
      <c r="C10">
        <v>65</v>
      </c>
      <c r="D10">
        <f t="shared" si="0"/>
        <v>-2.5</v>
      </c>
      <c r="E10">
        <f t="shared" si="1"/>
        <v>-8</v>
      </c>
      <c r="F10">
        <f t="shared" si="2"/>
        <v>20</v>
      </c>
    </row>
    <row r="11" spans="1:6">
      <c r="A11">
        <v>5</v>
      </c>
      <c r="B11">
        <v>8</v>
      </c>
      <c r="C11">
        <v>72</v>
      </c>
      <c r="D11">
        <f t="shared" si="0"/>
        <v>-0.5</v>
      </c>
      <c r="E11">
        <f t="shared" si="1"/>
        <v>-1</v>
      </c>
      <c r="F11">
        <f t="shared" si="2"/>
        <v>0.5</v>
      </c>
    </row>
    <row r="12" spans="1:6">
      <c r="A12">
        <v>6</v>
      </c>
      <c r="B12">
        <v>9</v>
      </c>
      <c r="C12">
        <v>75</v>
      </c>
      <c r="D12">
        <f t="shared" si="0"/>
        <v>0.5</v>
      </c>
      <c r="E12">
        <f t="shared" si="1"/>
        <v>2</v>
      </c>
      <c r="F12">
        <f t="shared" si="2"/>
        <v>1</v>
      </c>
    </row>
    <row r="13" spans="1:6">
      <c r="A13">
        <v>7</v>
      </c>
      <c r="B13">
        <v>11</v>
      </c>
      <c r="C13">
        <v>82</v>
      </c>
      <c r="D13">
        <f t="shared" si="0"/>
        <v>2.5</v>
      </c>
      <c r="E13">
        <f t="shared" si="1"/>
        <v>9</v>
      </c>
      <c r="F13">
        <f t="shared" si="2"/>
        <v>22.5</v>
      </c>
    </row>
    <row r="14" spans="1:6">
      <c r="A14">
        <v>8</v>
      </c>
      <c r="B14">
        <v>12</v>
      </c>
      <c r="C14">
        <v>85</v>
      </c>
      <c r="D14">
        <f t="shared" si="0"/>
        <v>3.5</v>
      </c>
      <c r="E14">
        <f t="shared" si="1"/>
        <v>12</v>
      </c>
      <c r="F14">
        <f t="shared" si="2"/>
        <v>42</v>
      </c>
    </row>
    <row r="15" spans="1:6">
      <c r="A15">
        <v>9</v>
      </c>
      <c r="B15">
        <v>14</v>
      </c>
      <c r="C15">
        <v>90</v>
      </c>
      <c r="D15">
        <f t="shared" si="0"/>
        <v>5.5</v>
      </c>
      <c r="E15">
        <f t="shared" si="1"/>
        <v>17</v>
      </c>
      <c r="F15">
        <f t="shared" si="2"/>
        <v>93.5</v>
      </c>
    </row>
    <row r="16" spans="1:6">
      <c r="A16">
        <v>10</v>
      </c>
      <c r="B16">
        <v>15</v>
      </c>
      <c r="C16">
        <v>94</v>
      </c>
      <c r="D16">
        <f t="shared" si="0"/>
        <v>6.5</v>
      </c>
      <c r="E16">
        <f t="shared" si="1"/>
        <v>21</v>
      </c>
      <c r="F16">
        <f t="shared" si="2"/>
        <v>136.5</v>
      </c>
    </row>
    <row r="17" spans="1:6">
      <c r="A17" s="15" t="s">
        <v>62</v>
      </c>
      <c r="B17" s="14">
        <f>AVERAGE(B7:B16)</f>
        <v>8.5</v>
      </c>
      <c r="C17" s="14">
        <f>AVERAGE(C7:C16)</f>
        <v>73</v>
      </c>
      <c r="F17" s="17">
        <f>SUM(F7:F16)</f>
        <v>603</v>
      </c>
    </row>
    <row r="18" spans="1:6">
      <c r="A18" s="15" t="s">
        <v>63</v>
      </c>
      <c r="B18" s="14">
        <f>_xlfn.STDEV.P(B7:B16)</f>
        <v>4.2720018726587652</v>
      </c>
      <c r="C18" s="14">
        <f>_xlfn.STDEV.P(C7:C16)</f>
        <v>14.135062787267696</v>
      </c>
    </row>
    <row r="20" spans="1:6">
      <c r="A20" s="4" t="s">
        <v>4</v>
      </c>
      <c r="B20" s="4"/>
      <c r="C20" s="4"/>
      <c r="D20" s="4"/>
    </row>
    <row r="21" spans="1:6">
      <c r="A21" s="5" t="s">
        <v>29</v>
      </c>
      <c r="B21" s="5"/>
      <c r="C21" s="5"/>
      <c r="D21" s="5"/>
    </row>
    <row r="22" spans="1:6">
      <c r="A22" s="5"/>
      <c r="B22" s="5"/>
      <c r="C22" s="5"/>
      <c r="D22" s="5"/>
    </row>
    <row r="23" spans="1:6">
      <c r="A23" s="5"/>
      <c r="B23" s="5"/>
      <c r="C23" s="5"/>
      <c r="D23" s="5"/>
    </row>
    <row r="24" spans="1:6">
      <c r="A24" s="5"/>
      <c r="B24" s="5"/>
      <c r="C24" s="5"/>
      <c r="D24" s="5"/>
    </row>
    <row r="25" spans="1:6">
      <c r="B25" t="s">
        <v>59</v>
      </c>
      <c r="C25" s="7" t="s">
        <v>61</v>
      </c>
    </row>
    <row r="26" spans="1:6">
      <c r="A26" s="13" t="s">
        <v>30</v>
      </c>
      <c r="B26" s="13"/>
      <c r="C26" s="13"/>
      <c r="D26" s="13"/>
    </row>
    <row r="27" spans="1:6">
      <c r="A27" t="s">
        <v>60</v>
      </c>
      <c r="B27">
        <f>F17/(10*$B$18*$C$18)</f>
        <v>0.9985921226022233</v>
      </c>
      <c r="C27">
        <f>CORREL(B7:B16,C7:C16)</f>
        <v>0.9985921226022233</v>
      </c>
    </row>
    <row r="28" spans="1:6">
      <c r="A28" t="s">
        <v>67</v>
      </c>
      <c r="B28" t="s">
        <v>68</v>
      </c>
    </row>
    <row r="29" spans="1:6">
      <c r="A29" t="s">
        <v>70</v>
      </c>
      <c r="B29" t="s">
        <v>69</v>
      </c>
    </row>
  </sheetData>
  <mergeCells count="5">
    <mergeCell ref="A1:D1"/>
    <mergeCell ref="A3:D4"/>
    <mergeCell ref="A20:D20"/>
    <mergeCell ref="A21:D24"/>
    <mergeCell ref="A26:D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Q1_Central_Tendency</vt:lpstr>
      <vt:lpstr>Q2_IQR_1</vt:lpstr>
      <vt:lpstr>Q3_IQR_2</vt:lpstr>
      <vt:lpstr>Q4_Variance</vt:lpstr>
      <vt:lpstr>Q5_STD</vt:lpstr>
      <vt:lpstr>Q6_Correlation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Arwa refaie</cp:lastModifiedBy>
  <dcterms:created xsi:type="dcterms:W3CDTF">2026-08-18T06:28:59Z</dcterms:created>
  <dcterms:modified xsi:type="dcterms:W3CDTF">2026-08-18T20:39:29Z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2026-08-18T06:28:38Z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edf9fb9a-dcf8-4cc1-a0f5-f32ba697b899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