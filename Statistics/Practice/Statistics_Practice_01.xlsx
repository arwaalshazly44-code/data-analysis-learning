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187362-C5AA-4EFF-8EEB-D47A3C01261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 Type" sheetId="1" r:id="rId1"/>
    <sheet name="Mean" sheetId="2" r:id="rId2"/>
    <sheet name="Median" sheetId="3" r:id="rId3"/>
    <sheet name="Rang" sheetId="4" r:id="rId4"/>
    <sheet name="IQR" sheetId="5" r:id="rId5"/>
    <sheet name="Corr" sheetId="8" r:id="rId6"/>
    <sheet name="Correlation" sheetId="7" r:id="rId7"/>
  </sheets>
  <definedNames>
    <definedName name="_xlnm._FilterDatabase" localSheetId="4" hidden="1">IQR!$A$8:$B$23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F15" i="7" s="1"/>
  <c r="J12" i="5"/>
  <c r="J11" i="5"/>
  <c r="J9" i="5"/>
  <c r="J6" i="5"/>
  <c r="J8" i="5"/>
  <c r="J7" i="5"/>
  <c r="F16" i="7"/>
  <c r="C13" i="7"/>
  <c r="F12" i="7"/>
  <c r="F4" i="7"/>
  <c r="F5" i="7"/>
  <c r="F6" i="7"/>
  <c r="F7" i="7"/>
  <c r="F8" i="7"/>
  <c r="F9" i="7"/>
  <c r="F10" i="7"/>
  <c r="F3" i="7"/>
  <c r="E4" i="7"/>
  <c r="E5" i="7"/>
  <c r="E6" i="7"/>
  <c r="E7" i="7"/>
  <c r="E8" i="7"/>
  <c r="E9" i="7"/>
  <c r="E10" i="7"/>
  <c r="E3" i="7"/>
  <c r="D4" i="7"/>
  <c r="D5" i="7"/>
  <c r="D6" i="7"/>
  <c r="D7" i="7"/>
  <c r="D8" i="7"/>
  <c r="D9" i="7"/>
  <c r="D10" i="7"/>
  <c r="D3" i="7"/>
  <c r="C12" i="7"/>
  <c r="B12" i="7"/>
  <c r="C7" i="4"/>
  <c r="E15" i="3"/>
  <c r="E16" i="3"/>
  <c r="L15" i="2"/>
  <c r="N6" i="2"/>
  <c r="N5" i="2"/>
  <c r="N4" i="2"/>
  <c r="N3" i="2"/>
</calcChain>
</file>

<file path=xl/sharedStrings.xml><?xml version="1.0" encoding="utf-8"?>
<sst xmlns="http://schemas.openxmlformats.org/spreadsheetml/2006/main" count="202" uniqueCount="114">
  <si>
    <t>The answers</t>
  </si>
  <si>
    <t>Name</t>
  </si>
  <si>
    <t>Gender</t>
  </si>
  <si>
    <t>grade level</t>
  </si>
  <si>
    <t>Age</t>
  </si>
  <si>
    <t>test Score</t>
  </si>
  <si>
    <t>height (cm)</t>
  </si>
  <si>
    <t>Tuition
Padi ($)</t>
  </si>
  <si>
    <t>Sarah</t>
  </si>
  <si>
    <t>Female</t>
  </si>
  <si>
    <t>5 th</t>
  </si>
  <si>
    <t>Columns</t>
  </si>
  <si>
    <t>Data Type</t>
  </si>
  <si>
    <t>Type</t>
  </si>
  <si>
    <t>Omar</t>
  </si>
  <si>
    <t>Male</t>
  </si>
  <si>
    <t>6 th</t>
  </si>
  <si>
    <t>Mariam</t>
  </si>
  <si>
    <t>7 th</t>
  </si>
  <si>
    <t>Karim</t>
  </si>
  <si>
    <t>8 th</t>
  </si>
  <si>
    <t>Hanan</t>
  </si>
  <si>
    <t>9 th</t>
  </si>
  <si>
    <t>Youssef</t>
  </si>
  <si>
    <t>10 th</t>
  </si>
  <si>
    <t>Mona</t>
  </si>
  <si>
    <t>11 th</t>
  </si>
  <si>
    <t>Ahmed</t>
  </si>
  <si>
    <t>12 th</t>
  </si>
  <si>
    <t>Rania</t>
  </si>
  <si>
    <t>13 th</t>
  </si>
  <si>
    <t>Grade Level</t>
  </si>
  <si>
    <t>Test Score</t>
  </si>
  <si>
    <t>Height (cm)</t>
  </si>
  <si>
    <t>Tuition</t>
  </si>
  <si>
    <t>5th</t>
  </si>
  <si>
    <t>Requirements</t>
  </si>
  <si>
    <t>The Answer</t>
  </si>
  <si>
    <t>6th</t>
  </si>
  <si>
    <t>Calculate the Mean Age of all students.</t>
  </si>
  <si>
    <t>7th</t>
  </si>
  <si>
    <t>Calculate the Mean Test Score of all students.</t>
  </si>
  <si>
    <t>8th</t>
  </si>
  <si>
    <r>
      <t xml:space="preserve">Calculate the </t>
    </r>
    <r>
      <rPr>
        <b/>
        <sz val="11"/>
        <color theme="1"/>
        <rFont val="Calibri"/>
        <family val="2"/>
        <scheme val="minor"/>
      </rPr>
      <t>Mean Height</t>
    </r>
    <r>
      <rPr>
        <sz val="11"/>
        <color theme="1"/>
        <rFont val="Calibri"/>
        <family val="2"/>
        <scheme val="minor"/>
      </rPr>
      <t xml:space="preserve"> of all students.</t>
    </r>
  </si>
  <si>
    <t>9th</t>
  </si>
  <si>
    <r>
      <t xml:space="preserve">Calculate the </t>
    </r>
    <r>
      <rPr>
        <b/>
        <sz val="11"/>
        <color theme="1"/>
        <rFont val="Calibri"/>
        <family val="2"/>
        <scheme val="minor"/>
      </rPr>
      <t>Mean Tuition</t>
    </r>
    <r>
      <rPr>
        <sz val="11"/>
        <color theme="1"/>
        <rFont val="Calibri"/>
        <family val="2"/>
        <scheme val="minor"/>
      </rPr>
      <t xml:space="preserve"> of all students.</t>
    </r>
  </si>
  <si>
    <t>10th</t>
  </si>
  <si>
    <t>11th</t>
  </si>
  <si>
    <t>12th</t>
  </si>
  <si>
    <t>13th</t>
  </si>
  <si>
    <t>Salary</t>
  </si>
  <si>
    <r>
      <t xml:space="preserve">Calculate the </t>
    </r>
    <r>
      <rPr>
        <b/>
        <sz val="11"/>
        <color theme="0"/>
        <rFont val="Calibri"/>
        <family val="2"/>
        <scheme val="minor"/>
      </rPr>
      <t>Mean Salary</t>
    </r>
    <r>
      <rPr>
        <sz val="11"/>
        <color theme="0"/>
        <rFont val="Calibri"/>
        <family val="2"/>
        <scheme val="minor"/>
      </rPr>
      <t xml:space="preserve"> of all EMP.</t>
    </r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</si>
  <si>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</si>
  <si>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</si>
  <si>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</si>
  <si>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</si>
  <si>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</si>
  <si>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</si>
  <si>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</si>
  <si>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</si>
  <si>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Years Experience</t>
  </si>
  <si>
    <t xml:space="preserve">Low </t>
  </si>
  <si>
    <t>high</t>
  </si>
  <si>
    <t>Range</t>
  </si>
  <si>
    <t>IQR</t>
  </si>
  <si>
    <t>Q3-Q1</t>
  </si>
  <si>
    <t>Lower Outliers</t>
  </si>
  <si>
    <t>Q1-1.5*IQR</t>
  </si>
  <si>
    <t>the ages of 15 employees selected from a company are as follows</t>
  </si>
  <si>
    <t>Upper Outliers</t>
  </si>
  <si>
    <t>Q3+1.5*IQR</t>
  </si>
  <si>
    <t xml:space="preserve">Calculate the </t>
  </si>
  <si>
    <t>Mean</t>
  </si>
  <si>
    <t>Q1</t>
  </si>
  <si>
    <t>Median</t>
  </si>
  <si>
    <t>Q2</t>
  </si>
  <si>
    <t>Ages</t>
  </si>
  <si>
    <t>Q3</t>
  </si>
  <si>
    <t>mohamed</t>
  </si>
  <si>
    <t>Khaled</t>
  </si>
  <si>
    <t>Mostafa</t>
  </si>
  <si>
    <t>Ali</t>
  </si>
  <si>
    <t>Jana</t>
  </si>
  <si>
    <t>Student</t>
  </si>
  <si>
    <t>Hours Study X</t>
  </si>
  <si>
    <t>Grade Y</t>
  </si>
  <si>
    <t>A</t>
  </si>
  <si>
    <t>B</t>
  </si>
  <si>
    <t>C</t>
  </si>
  <si>
    <t>D</t>
  </si>
  <si>
    <t>E</t>
  </si>
  <si>
    <t>F</t>
  </si>
  <si>
    <t>Number of absence  X</t>
  </si>
  <si>
    <t>Final Grade Y</t>
  </si>
  <si>
    <t>G</t>
  </si>
  <si>
    <t>Height
x</t>
  </si>
  <si>
    <t>Weight
y</t>
  </si>
  <si>
    <t>X-X̄</t>
  </si>
  <si>
    <t>Y-Ȳ</t>
  </si>
  <si>
    <t>(X-X̄)*(Y-Ȳ)</t>
  </si>
  <si>
    <t>Std</t>
  </si>
  <si>
    <t>cat</t>
  </si>
  <si>
    <t>nom</t>
  </si>
  <si>
    <t>ord</t>
  </si>
  <si>
    <t>num</t>
  </si>
  <si>
    <t>dis</t>
  </si>
  <si>
    <t>con</t>
  </si>
  <si>
    <t>1-MEAN</t>
  </si>
  <si>
    <t>2-MEDIAN</t>
  </si>
  <si>
    <t>DAYS</t>
  </si>
  <si>
    <t>3-MODE</t>
  </si>
  <si>
    <t>E=SUM((X-X̄)*(Y-Ȳ))/N*STD X*STD Y</t>
  </si>
  <si>
    <t>R=</t>
  </si>
  <si>
    <t>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</si>
</sst>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0" xfId="0" applyFont="1" applyFill="1"/>
    <xf numFmtId="0" fontId="0" fillId="0" borderId="1" xfId="0" applyBorder="1"/>
    <xf numFmtId="0" fontId="1" fillId="4" borderId="0" xfId="0" applyFont="1" applyFill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2" fillId="9" borderId="0" xfId="0" applyFont="1" applyFill="1"/>
    <xf numFmtId="1" fontId="0" fillId="0" borderId="0" xfId="0" applyNumberFormat="1"/>
    <xf numFmtId="0" fontId="0" fillId="3" borderId="1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Corr!$C$3:$C$8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Corr!$D$3:$D$8</c:f>
              <c:numCache>
                <c:formatCode>General</c:formatCode>
                <c:ptCount val="6"/>
                <c:pt idx="0">
                  <c:v>82</c:v>
                </c:pt>
                <c:pt idx="1">
                  <c:v>63</c:v>
                </c:pt>
                <c:pt idx="2">
                  <c:v>57</c:v>
                </c:pt>
                <c:pt idx="3">
                  <c:v>88</c:v>
                </c:pt>
                <c:pt idx="4">
                  <c:v>68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8-4C22-9BA5-B098BD3F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7008"/>
        <c:axId val="1881198800"/>
      </c:scatterChart>
      <c:valAx>
        <c:axId val="19136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98800"/>
        <c:crosses val="autoZero"/>
        <c:crossBetween val="midCat"/>
      </c:valAx>
      <c:valAx>
        <c:axId val="18811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Corr!$C$15:$C$21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Corr!$D$15:$D$21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D-4859-9136-14A206725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041744"/>
        <c:axId val="1881159920"/>
      </c:scatterChart>
      <c:valAx>
        <c:axId val="190104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59920"/>
        <c:crosses val="autoZero"/>
        <c:crossBetween val="midCat"/>
      </c:valAx>
      <c:valAx>
        <c:axId val="1881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4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13</xdr:row>
      <xdr:rowOff>114300</xdr:rowOff>
    </xdr:from>
    <xdr:to>
      <xdr:col>6</xdr:col>
      <xdr:colOff>285750</xdr:colOff>
      <xdr:row>15</xdr:row>
      <xdr:rowOff>76200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6B162DB-AAFC-FBFF-19CD-C8C34C4FFA71}"/>
            </a:ext>
          </a:extLst>
        </xdr:cNvPr>
        <xdr:cNvSpPr/>
      </xdr:nvSpPr>
      <xdr:spPr>
        <a:xfrm>
          <a:off x="1854200" y="2508250"/>
          <a:ext cx="1828800" cy="330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82550</xdr:colOff>
      <xdr:row>2</xdr:row>
      <xdr:rowOff>25400</xdr:rowOff>
    </xdr:from>
    <xdr:to>
      <xdr:col>8</xdr:col>
      <xdr:colOff>533400</xdr:colOff>
      <xdr:row>3</xdr:row>
      <xdr:rowOff>171450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57B7D1B-C076-4EE5-A97E-FFBB46E7B280}"/>
            </a:ext>
          </a:extLst>
        </xdr:cNvPr>
        <xdr:cNvSpPr/>
      </xdr:nvSpPr>
      <xdr:spPr>
        <a:xfrm>
          <a:off x="3949700" y="393700"/>
          <a:ext cx="1060450" cy="330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76200</xdr:rowOff>
    </xdr:from>
    <xdr:to>
      <xdr:col>13</xdr:col>
      <xdr:colOff>438150</xdr:colOff>
      <xdr:row>3</xdr:row>
      <xdr:rowOff>88900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C5EFB18-258C-2B8F-CF11-5A39F65FE192}"/>
            </a:ext>
          </a:extLst>
        </xdr:cNvPr>
        <xdr:cNvSpPr/>
      </xdr:nvSpPr>
      <xdr:spPr>
        <a:xfrm>
          <a:off x="1308100" y="76200"/>
          <a:ext cx="6565900" cy="56515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The Following data reflect the number of defects produced on assembly line at the dearfield electronics cmopany for a period 8 day</a:t>
          </a:r>
        </a:p>
      </xdr:txBody>
    </xdr:sp>
    <xdr:clientData/>
  </xdr:twoCellAnchor>
  <xdr:twoCellAnchor>
    <xdr:from>
      <xdr:col>11</xdr:col>
      <xdr:colOff>133350</xdr:colOff>
      <xdr:row>7</xdr:row>
      <xdr:rowOff>139700</xdr:rowOff>
    </xdr:from>
    <xdr:to>
      <xdr:col>19</xdr:col>
      <xdr:colOff>469900</xdr:colOff>
      <xdr:row>12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8FF7EC2-ACF8-43DE-97CD-463AD0FD95F4}"/>
            </a:ext>
          </a:extLst>
        </xdr:cNvPr>
        <xdr:cNvSpPr/>
      </xdr:nvSpPr>
      <xdr:spPr>
        <a:xfrm>
          <a:off x="6350000" y="1428750"/>
          <a:ext cx="5213350" cy="8509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1- </a:t>
          </a:r>
          <a:r>
            <a:rPr lang="en-US"/>
            <a:t>Comute the mean number of defects for this population fo days </a:t>
          </a:r>
        </a:p>
        <a:p>
          <a:pPr algn="l"/>
          <a:r>
            <a:rPr lang="en-US" sz="1100"/>
            <a:t>2-</a:t>
          </a:r>
          <a:r>
            <a:rPr lang="en-US"/>
            <a:t>compute the median number of defects produced for this population of days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3-</a:t>
          </a:r>
          <a:r>
            <a:rPr lang="en-US"/>
            <a:t>determine if there is a mode number of defects and if so indicate the mode value </a:t>
          </a:r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57150</xdr:rowOff>
    </xdr:from>
    <xdr:to>
      <xdr:col>12</xdr:col>
      <xdr:colOff>152400</xdr:colOff>
      <xdr:row>12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3B97D-3823-B79A-D326-3A412B05C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342900</xdr:colOff>
      <xdr:row>13</xdr:row>
      <xdr:rowOff>53340</xdr:rowOff>
    </xdr:from>
    <xdr:to>
      <xdr:col>11</xdr:col>
      <xdr:colOff>419100</xdr:colOff>
      <xdr:row>25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661C5-63F9-F02C-CE2A-6D587C2D3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577850</xdr:colOff>
      <xdr:row>1</xdr:row>
      <xdr:rowOff>6350</xdr:rowOff>
    </xdr:from>
    <xdr:to>
      <xdr:col>37</xdr:col>
      <xdr:colOff>541025</xdr:colOff>
      <xdr:row>28</xdr:row>
      <xdr:rowOff>4575</xdr:rowOff>
    </xdr:to>
    <xdr:sp macro="" textlink="">
      <xdr:nvSpPr>
        <xdr:cNvPr id="3" name="Freeform 3">
          <a:extLst>
            <a:ext uri="{FF2B5EF4-FFF2-40B4-BE49-F238E27FC236}">
              <a16:creationId xmlns:a16="http://schemas.microsoft.com/office/drawing/2014/main" id="{55A67D2D-BEFB-4033-9572-958752EF61FA}"/>
            </a:ext>
          </a:extLst>
        </xdr:cNvPr>
        <xdr:cNvSpPr/>
      </xdr:nvSpPr>
      <xdr:spPr>
        <a:xfrm>
          <a:off x="16427450" y="190500"/>
          <a:ext cx="6668775" cy="4970275"/>
        </a:xfrm>
        <a:custGeom>
          <a:avLst/>
          <a:gdLst/>
          <a:ahLst/>
          <a:cxnLst/>
          <a:rect l="l" t="t" r="r" b="b"/>
          <a:pathLst>
            <a:path w="10993125" h="6595875">
              <a:moveTo>
                <a:pt x="0" y="0"/>
              </a:moveTo>
              <a:lnTo>
                <a:pt x="10993126" y="0"/>
              </a:lnTo>
              <a:lnTo>
                <a:pt x="10993126" y="6595875"/>
              </a:lnTo>
              <a:lnTo>
                <a:pt x="0" y="659587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selection activeCell="G24" sqref="G24"/>
    </sheetView>
  </sheetViews>
  <sheetFormatPr defaultColWidth="8.77734375" defaultRowHeight="14.4" x14ac:dyDescent="0.3"/>
  <cols>
    <col min="1" max="1" width="14.21875" style="7" bestFit="1" customWidth="1"/>
    <col min="2" max="2" width="9.21875" style="7" bestFit="1" customWidth="1"/>
    <col min="3" max="3" width="8.44140625" style="7" bestFit="1" customWidth="1"/>
    <col min="4" max="4" width="3.77734375" style="7" bestFit="1" customWidth="1"/>
    <col min="5" max="5" width="8.77734375" style="7" bestFit="1" customWidth="1"/>
    <col min="6" max="6" width="10.21875" style="7" bestFit="1" customWidth="1"/>
    <col min="7" max="7" width="7.44140625" style="7" bestFit="1" customWidth="1"/>
    <col min="8" max="8" width="7" style="7" bestFit="1" customWidth="1"/>
    <col min="9" max="9" width="9.77734375" style="7" bestFit="1" customWidth="1"/>
    <col min="10" max="10" width="3.77734375" style="7" bestFit="1" customWidth="1"/>
    <col min="11" max="11" width="8.77734375" style="7" bestFit="1" customWidth="1"/>
    <col min="12" max="12" width="10.21875" style="7" bestFit="1" customWidth="1"/>
    <col min="13" max="13" width="14" style="7" bestFit="1" customWidth="1"/>
    <col min="14" max="16384" width="8.77734375" style="7"/>
  </cols>
  <sheetData>
    <row r="1" spans="1:25" x14ac:dyDescent="0.3">
      <c r="A1" s="28" t="s">
        <v>0</v>
      </c>
      <c r="B1" s="28"/>
      <c r="C1" s="28"/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</row>
    <row r="2" spans="1:25" x14ac:dyDescent="0.3">
      <c r="A2" s="28"/>
      <c r="B2" s="28"/>
      <c r="C2" s="28"/>
      <c r="G2" s="6" t="s">
        <v>8</v>
      </c>
      <c r="H2" s="6" t="s">
        <v>9</v>
      </c>
      <c r="I2" s="6" t="s">
        <v>10</v>
      </c>
      <c r="J2" s="6">
        <v>21</v>
      </c>
      <c r="K2" s="6">
        <v>92</v>
      </c>
      <c r="L2" s="6">
        <v>160</v>
      </c>
      <c r="M2" s="6">
        <v>8200</v>
      </c>
    </row>
    <row r="3" spans="1:25" x14ac:dyDescent="0.3">
      <c r="A3" s="16" t="s">
        <v>11</v>
      </c>
      <c r="B3" s="16" t="s">
        <v>12</v>
      </c>
      <c r="C3" s="16" t="s">
        <v>13</v>
      </c>
      <c r="G3" s="6" t="s">
        <v>14</v>
      </c>
      <c r="H3" s="6" t="s">
        <v>15</v>
      </c>
      <c r="I3" s="6" t="s">
        <v>16</v>
      </c>
      <c r="J3" s="6">
        <v>20</v>
      </c>
      <c r="K3" s="6">
        <v>74</v>
      </c>
      <c r="L3" s="6">
        <v>178</v>
      </c>
      <c r="M3" s="6">
        <v>7800</v>
      </c>
    </row>
    <row r="4" spans="1:25" x14ac:dyDescent="0.3">
      <c r="A4" s="9" t="s">
        <v>1</v>
      </c>
      <c r="B4" s="10" t="s">
        <v>101</v>
      </c>
      <c r="C4" s="10" t="s">
        <v>102</v>
      </c>
      <c r="G4" s="6" t="s">
        <v>17</v>
      </c>
      <c r="H4" s="6" t="s">
        <v>9</v>
      </c>
      <c r="I4" s="6" t="s">
        <v>18</v>
      </c>
      <c r="J4" s="6">
        <v>19</v>
      </c>
      <c r="K4" s="6">
        <v>81</v>
      </c>
      <c r="L4" s="6">
        <v>162</v>
      </c>
      <c r="M4" s="6">
        <v>7500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9" t="s">
        <v>2</v>
      </c>
      <c r="B5" s="10" t="s">
        <v>101</v>
      </c>
      <c r="C5" s="10" t="s">
        <v>102</v>
      </c>
      <c r="G5" s="6" t="s">
        <v>19</v>
      </c>
      <c r="H5" s="6" t="s">
        <v>15</v>
      </c>
      <c r="I5" s="6" t="s">
        <v>20</v>
      </c>
      <c r="J5" s="6">
        <v>23</v>
      </c>
      <c r="K5" s="6">
        <v>65</v>
      </c>
      <c r="L5" s="6">
        <v>180</v>
      </c>
      <c r="M5" s="6">
        <v>8100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9" t="s">
        <v>3</v>
      </c>
      <c r="B6" s="10" t="s">
        <v>101</v>
      </c>
      <c r="C6" s="10" t="s">
        <v>103</v>
      </c>
      <c r="G6" s="6" t="s">
        <v>21</v>
      </c>
      <c r="H6" s="6" t="s">
        <v>9</v>
      </c>
      <c r="I6" s="6" t="s">
        <v>22</v>
      </c>
      <c r="J6" s="6">
        <v>20</v>
      </c>
      <c r="K6" s="6">
        <v>70</v>
      </c>
      <c r="L6" s="6">
        <v>158</v>
      </c>
      <c r="M6" s="6">
        <v>7600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9" t="s">
        <v>4</v>
      </c>
      <c r="B7" s="10" t="s">
        <v>104</v>
      </c>
      <c r="C7" s="10" t="s">
        <v>105</v>
      </c>
      <c r="G7" s="6" t="s">
        <v>23</v>
      </c>
      <c r="H7" s="6" t="s">
        <v>15</v>
      </c>
      <c r="I7" s="6" t="s">
        <v>24</v>
      </c>
      <c r="J7" s="6">
        <v>18</v>
      </c>
      <c r="K7" s="6">
        <v>95</v>
      </c>
      <c r="L7" s="6">
        <v>172</v>
      </c>
      <c r="M7" s="6">
        <v>7900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9" t="s">
        <v>5</v>
      </c>
      <c r="B8" s="10" t="s">
        <v>104</v>
      </c>
      <c r="C8" s="10" t="s">
        <v>105</v>
      </c>
      <c r="G8" s="6" t="s">
        <v>25</v>
      </c>
      <c r="H8" s="6" t="s">
        <v>9</v>
      </c>
      <c r="I8" s="6" t="s">
        <v>26</v>
      </c>
      <c r="J8" s="6">
        <v>19</v>
      </c>
      <c r="K8" s="6">
        <v>78</v>
      </c>
      <c r="L8" s="6">
        <v>165</v>
      </c>
      <c r="M8" s="6">
        <v>7400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9" t="s">
        <v>6</v>
      </c>
      <c r="B9" s="10" t="s">
        <v>104</v>
      </c>
      <c r="C9" s="10" t="s">
        <v>106</v>
      </c>
      <c r="G9" s="6" t="s">
        <v>27</v>
      </c>
      <c r="H9" s="6" t="s">
        <v>15</v>
      </c>
      <c r="I9" s="6" t="s">
        <v>28</v>
      </c>
      <c r="J9" s="6">
        <v>22</v>
      </c>
      <c r="K9" s="6">
        <v>89</v>
      </c>
      <c r="L9" s="6">
        <v>177</v>
      </c>
      <c r="M9" s="6">
        <v>8200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9" t="s">
        <v>7</v>
      </c>
      <c r="B10" s="10" t="s">
        <v>104</v>
      </c>
      <c r="C10" s="10" t="s">
        <v>106</v>
      </c>
      <c r="G10" s="6" t="s">
        <v>29</v>
      </c>
      <c r="H10" s="6" t="s">
        <v>9</v>
      </c>
      <c r="I10" s="6" t="s">
        <v>30</v>
      </c>
      <c r="J10" s="6">
        <v>21</v>
      </c>
      <c r="K10" s="6">
        <v>83</v>
      </c>
      <c r="L10" s="6">
        <v>163</v>
      </c>
      <c r="M10" s="6">
        <v>7700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</sheetData>
  <mergeCells count="1">
    <mergeCell ref="A1:C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87C4-2304-4822-87C9-84D5906BD14D}">
  <dimension ref="A1:N24"/>
  <sheetViews>
    <sheetView workbookViewId="0">
      <selection activeCell="L16" sqref="L16"/>
    </sheetView>
  </sheetViews>
  <sheetFormatPr defaultRowHeight="14.4" x14ac:dyDescent="0.3"/>
  <cols>
    <col min="1" max="1" width="7.44140625" bestFit="1" customWidth="1"/>
    <col min="2" max="2" width="7" bestFit="1" customWidth="1"/>
    <col min="3" max="3" width="10.5546875" bestFit="1" customWidth="1"/>
    <col min="4" max="4" width="3.77734375" bestFit="1" customWidth="1"/>
    <col min="5" max="5" width="9.44140625" bestFit="1" customWidth="1"/>
    <col min="6" max="6" width="10.44140625" bestFit="1" customWidth="1"/>
    <col min="7" max="7" width="6.77734375" bestFit="1" customWidth="1"/>
    <col min="9" max="9" width="9.21875" bestFit="1" customWidth="1"/>
    <col min="13" max="13" width="10.21875" customWidth="1"/>
    <col min="14" max="14" width="10.5546875" bestFit="1" customWidth="1"/>
  </cols>
  <sheetData>
    <row r="1" spans="1:14" x14ac:dyDescent="0.3">
      <c r="A1" s="11" t="s">
        <v>1</v>
      </c>
      <c r="B1" s="11" t="s">
        <v>2</v>
      </c>
      <c r="C1" s="11" t="s">
        <v>31</v>
      </c>
      <c r="D1" s="11" t="s">
        <v>4</v>
      </c>
      <c r="E1" s="11" t="s">
        <v>32</v>
      </c>
      <c r="F1" s="11" t="s">
        <v>33</v>
      </c>
      <c r="G1" s="11" t="s">
        <v>34</v>
      </c>
    </row>
    <row r="2" spans="1:14" x14ac:dyDescent="0.3">
      <c r="A2" s="6" t="s">
        <v>8</v>
      </c>
      <c r="B2" s="6" t="s">
        <v>9</v>
      </c>
      <c r="C2" s="6" t="s">
        <v>35</v>
      </c>
      <c r="D2" s="6">
        <v>21</v>
      </c>
      <c r="E2" s="6">
        <v>92</v>
      </c>
      <c r="F2" s="6">
        <v>160</v>
      </c>
      <c r="G2" s="6">
        <v>8200</v>
      </c>
      <c r="J2" s="29" t="s">
        <v>36</v>
      </c>
      <c r="K2" s="29"/>
      <c r="L2" s="29"/>
      <c r="M2" s="29"/>
      <c r="N2" s="14" t="s">
        <v>37</v>
      </c>
    </row>
    <row r="3" spans="1:14" x14ac:dyDescent="0.3">
      <c r="A3" s="6" t="s">
        <v>14</v>
      </c>
      <c r="B3" s="6" t="s">
        <v>15</v>
      </c>
      <c r="C3" s="6" t="s">
        <v>38</v>
      </c>
      <c r="D3" s="6">
        <v>20</v>
      </c>
      <c r="E3" s="6">
        <v>74</v>
      </c>
      <c r="F3" s="6">
        <v>178</v>
      </c>
      <c r="G3" s="6">
        <v>7800</v>
      </c>
      <c r="J3" s="30" t="s">
        <v>39</v>
      </c>
      <c r="K3" s="30"/>
      <c r="L3" s="30"/>
      <c r="M3" s="30"/>
      <c r="N3" s="15">
        <f>SUM(D2:D10)/9</f>
        <v>20.333333333333332</v>
      </c>
    </row>
    <row r="4" spans="1:14" x14ac:dyDescent="0.3">
      <c r="A4" s="6" t="s">
        <v>17</v>
      </c>
      <c r="B4" s="6" t="s">
        <v>9</v>
      </c>
      <c r="C4" s="6" t="s">
        <v>40</v>
      </c>
      <c r="D4" s="6">
        <v>19</v>
      </c>
      <c r="E4" s="6">
        <v>81</v>
      </c>
      <c r="F4" s="6">
        <v>162</v>
      </c>
      <c r="G4" s="6">
        <v>7500</v>
      </c>
      <c r="J4" s="31" t="s">
        <v>41</v>
      </c>
      <c r="K4" s="31"/>
      <c r="L4" s="31"/>
      <c r="M4" s="31"/>
      <c r="N4" s="15">
        <f>SUM(E2:E10)/9</f>
        <v>80.777777777777771</v>
      </c>
    </row>
    <row r="5" spans="1:14" x14ac:dyDescent="0.3">
      <c r="A5" s="6" t="s">
        <v>19</v>
      </c>
      <c r="B5" s="6" t="s">
        <v>15</v>
      </c>
      <c r="C5" s="6" t="s">
        <v>42</v>
      </c>
      <c r="D5" s="6">
        <v>23</v>
      </c>
      <c r="E5" s="6">
        <v>65</v>
      </c>
      <c r="F5" s="6">
        <v>180</v>
      </c>
      <c r="G5" s="6">
        <v>8100</v>
      </c>
      <c r="J5" s="32" t="s">
        <v>43</v>
      </c>
      <c r="K5" s="32"/>
      <c r="L5" s="32"/>
      <c r="M5" s="32"/>
      <c r="N5" s="15">
        <f>SUM(F2:F10)/9</f>
        <v>168.33333333333334</v>
      </c>
    </row>
    <row r="6" spans="1:14" x14ac:dyDescent="0.3">
      <c r="A6" s="6" t="s">
        <v>21</v>
      </c>
      <c r="B6" s="6" t="s">
        <v>9</v>
      </c>
      <c r="C6" s="6" t="s">
        <v>44</v>
      </c>
      <c r="D6" s="6">
        <v>20</v>
      </c>
      <c r="E6" s="6">
        <v>70</v>
      </c>
      <c r="F6" s="6">
        <v>158</v>
      </c>
      <c r="G6" s="6">
        <v>7600</v>
      </c>
      <c r="J6" s="32" t="s">
        <v>45</v>
      </c>
      <c r="K6" s="32"/>
      <c r="L6" s="32"/>
      <c r="M6" s="32"/>
      <c r="N6" s="15">
        <f>SUM(G2:G10)/9</f>
        <v>7822.2222222222226</v>
      </c>
    </row>
    <row r="7" spans="1:14" x14ac:dyDescent="0.3">
      <c r="A7" s="6" t="s">
        <v>23</v>
      </c>
      <c r="B7" s="6" t="s">
        <v>15</v>
      </c>
      <c r="C7" s="6" t="s">
        <v>46</v>
      </c>
      <c r="D7" s="6">
        <v>18</v>
      </c>
      <c r="E7" s="6">
        <v>95</v>
      </c>
      <c r="F7" s="6">
        <v>172</v>
      </c>
      <c r="G7" s="6">
        <v>7900</v>
      </c>
    </row>
    <row r="8" spans="1:14" x14ac:dyDescent="0.3">
      <c r="A8" s="6" t="s">
        <v>25</v>
      </c>
      <c r="B8" s="6" t="s">
        <v>9</v>
      </c>
      <c r="C8" s="6" t="s">
        <v>47</v>
      </c>
      <c r="D8" s="6">
        <v>19</v>
      </c>
      <c r="E8" s="6">
        <v>78</v>
      </c>
      <c r="F8" s="6">
        <v>165</v>
      </c>
      <c r="G8" s="6">
        <v>7400</v>
      </c>
    </row>
    <row r="9" spans="1:14" x14ac:dyDescent="0.3">
      <c r="A9" s="6" t="s">
        <v>27</v>
      </c>
      <c r="B9" s="6" t="s">
        <v>15</v>
      </c>
      <c r="C9" s="6" t="s">
        <v>48</v>
      </c>
      <c r="D9" s="6">
        <v>22</v>
      </c>
      <c r="E9" s="6">
        <v>89</v>
      </c>
      <c r="F9" s="6">
        <v>177</v>
      </c>
      <c r="G9" s="6">
        <v>8200</v>
      </c>
    </row>
    <row r="10" spans="1:14" x14ac:dyDescent="0.3">
      <c r="A10" s="6" t="s">
        <v>29</v>
      </c>
      <c r="B10" s="6" t="s">
        <v>9</v>
      </c>
      <c r="C10" s="6" t="s">
        <v>49</v>
      </c>
      <c r="D10" s="6">
        <v>21</v>
      </c>
      <c r="E10" s="6">
        <v>83</v>
      </c>
      <c r="F10" s="6">
        <v>163</v>
      </c>
      <c r="G10" s="6">
        <v>7700</v>
      </c>
    </row>
    <row r="15" spans="1:14" x14ac:dyDescent="0.3">
      <c r="A15" s="11" t="s">
        <v>1</v>
      </c>
      <c r="B15" s="11" t="s">
        <v>2</v>
      </c>
      <c r="C15" s="11" t="s">
        <v>50</v>
      </c>
      <c r="H15" s="27" t="s">
        <v>51</v>
      </c>
      <c r="I15" s="27"/>
      <c r="J15" s="27"/>
      <c r="K15" s="27"/>
      <c r="L15">
        <f>SUM(C16:C24)/9</f>
        <v>9222.2222222222226</v>
      </c>
    </row>
    <row r="16" spans="1:14" x14ac:dyDescent="0.3">
      <c r="A16" s="6" t="s">
        <v>8</v>
      </c>
      <c r="B16" s="6" t="s">
        <v>9</v>
      </c>
      <c r="C16" s="6">
        <v>7500</v>
      </c>
    </row>
    <row r="17" spans="1:3" x14ac:dyDescent="0.3">
      <c r="A17" s="6" t="s">
        <v>14</v>
      </c>
      <c r="B17" s="6" t="s">
        <v>15</v>
      </c>
      <c r="C17" s="6">
        <v>7700</v>
      </c>
    </row>
    <row r="18" spans="1:3" x14ac:dyDescent="0.3">
      <c r="A18" s="6" t="s">
        <v>17</v>
      </c>
      <c r="B18" s="6" t="s">
        <v>9</v>
      </c>
      <c r="C18" s="6">
        <v>8100</v>
      </c>
    </row>
    <row r="19" spans="1:3" x14ac:dyDescent="0.3">
      <c r="A19" s="6" t="s">
        <v>19</v>
      </c>
      <c r="B19" s="6" t="s">
        <v>15</v>
      </c>
      <c r="C19" s="6">
        <v>7900</v>
      </c>
    </row>
    <row r="20" spans="1:3" x14ac:dyDescent="0.3">
      <c r="A20" s="6" t="s">
        <v>21</v>
      </c>
      <c r="B20" s="6" t="s">
        <v>9</v>
      </c>
      <c r="C20" s="6">
        <v>7800</v>
      </c>
    </row>
    <row r="21" spans="1:3" x14ac:dyDescent="0.3">
      <c r="A21" s="6" t="s">
        <v>23</v>
      </c>
      <c r="B21" s="6" t="s">
        <v>15</v>
      </c>
      <c r="C21" s="6">
        <v>9000</v>
      </c>
    </row>
    <row r="22" spans="1:3" x14ac:dyDescent="0.3">
      <c r="A22" s="6" t="s">
        <v>25</v>
      </c>
      <c r="B22" s="6" t="s">
        <v>9</v>
      </c>
      <c r="C22" s="6">
        <v>10000</v>
      </c>
    </row>
    <row r="23" spans="1:3" x14ac:dyDescent="0.3">
      <c r="A23" s="6" t="s">
        <v>27</v>
      </c>
      <c r="B23" s="6" t="s">
        <v>15</v>
      </c>
      <c r="C23" s="6">
        <v>13000</v>
      </c>
    </row>
    <row r="24" spans="1:3" x14ac:dyDescent="0.3">
      <c r="A24" s="6" t="s">
        <v>29</v>
      </c>
      <c r="B24" s="6" t="s">
        <v>9</v>
      </c>
      <c r="C24" s="6">
        <v>12000</v>
      </c>
    </row>
  </sheetData>
  <mergeCells count="6">
    <mergeCell ref="J2:M2"/>
    <mergeCell ref="H15:K15"/>
    <mergeCell ref="J3:M3"/>
    <mergeCell ref="J4:M4"/>
    <mergeCell ref="J5:M5"/>
    <mergeCell ref="J6:M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00DD-54AC-496F-BD7C-2F541CFE9309}">
  <dimension ref="A2:Q38"/>
  <sheetViews>
    <sheetView topLeftCell="A13" workbookViewId="0">
      <selection activeCell="E16" sqref="E16"/>
    </sheetView>
  </sheetViews>
  <sheetFormatPr defaultRowHeight="14.4" x14ac:dyDescent="0.3"/>
  <cols>
    <col min="1" max="1" width="7.44140625" bestFit="1" customWidth="1"/>
    <col min="2" max="2" width="7" bestFit="1" customWidth="1"/>
    <col min="3" max="3" width="5.77734375" bestFit="1" customWidth="1"/>
    <col min="4" max="4" width="9.77734375" bestFit="1" customWidth="1"/>
    <col min="5" max="5" width="6.77734375" bestFit="1" customWidth="1"/>
  </cols>
  <sheetData>
    <row r="2" spans="1:17" x14ac:dyDescent="0.3">
      <c r="J2" s="5"/>
      <c r="K2" s="5"/>
      <c r="L2" s="5"/>
      <c r="M2" s="5"/>
      <c r="N2" s="5"/>
      <c r="O2" s="5"/>
      <c r="P2" s="5"/>
      <c r="Q2" s="5"/>
    </row>
    <row r="9" spans="1:17" x14ac:dyDescent="0.3">
      <c r="D9" s="13" t="s">
        <v>52</v>
      </c>
      <c r="E9" s="13" t="s">
        <v>53</v>
      </c>
      <c r="F9" s="13" t="s">
        <v>54</v>
      </c>
      <c r="G9" s="13" t="s">
        <v>55</v>
      </c>
      <c r="H9" s="13" t="s">
        <v>56</v>
      </c>
      <c r="I9" s="13" t="s">
        <v>57</v>
      </c>
      <c r="J9" s="13" t="s">
        <v>58</v>
      </c>
      <c r="K9" s="13" t="s">
        <v>59</v>
      </c>
    </row>
    <row r="10" spans="1:17" x14ac:dyDescent="0.3">
      <c r="D10" s="6">
        <v>3</v>
      </c>
      <c r="E10" s="6">
        <v>0</v>
      </c>
      <c r="F10" s="6">
        <v>2</v>
      </c>
      <c r="G10" s="6">
        <v>0</v>
      </c>
      <c r="H10" s="6">
        <v>1</v>
      </c>
      <c r="I10" s="6">
        <v>3</v>
      </c>
      <c r="J10" s="6">
        <v>5</v>
      </c>
      <c r="K10" s="6">
        <v>2</v>
      </c>
    </row>
    <row r="11" spans="1:17" x14ac:dyDescent="0.3">
      <c r="A11" s="4"/>
      <c r="B11" s="4"/>
      <c r="C11" s="4"/>
      <c r="D11" s="6">
        <v>5</v>
      </c>
      <c r="E11" s="6">
        <v>1</v>
      </c>
      <c r="F11" s="6">
        <v>3</v>
      </c>
      <c r="G11" s="6">
        <v>0</v>
      </c>
      <c r="H11" s="6">
        <v>0</v>
      </c>
      <c r="I11" s="6">
        <v>1</v>
      </c>
      <c r="J11" s="6">
        <v>3</v>
      </c>
      <c r="K11" s="6">
        <v>3</v>
      </c>
    </row>
    <row r="12" spans="1:17" x14ac:dyDescent="0.3">
      <c r="A12" s="4"/>
      <c r="B12" s="4"/>
      <c r="C12" s="4"/>
      <c r="D12" s="6">
        <v>4</v>
      </c>
      <c r="E12" s="6">
        <v>2</v>
      </c>
      <c r="F12" s="6">
        <v>1</v>
      </c>
      <c r="G12" s="6">
        <v>8</v>
      </c>
      <c r="H12" s="6">
        <v>4</v>
      </c>
      <c r="I12" s="6">
        <v>2</v>
      </c>
      <c r="J12" s="6">
        <v>4</v>
      </c>
      <c r="K12" s="6">
        <v>5</v>
      </c>
    </row>
    <row r="14" spans="1:17" x14ac:dyDescent="0.3">
      <c r="L14" t="s">
        <v>109</v>
      </c>
    </row>
    <row r="15" spans="1:17" x14ac:dyDescent="0.3">
      <c r="D15" t="s">
        <v>107</v>
      </c>
      <c r="E15">
        <f>SUM(L15:L38)/24</f>
        <v>2.5833333333333335</v>
      </c>
      <c r="L15" s="6">
        <v>0</v>
      </c>
      <c r="M15" s="6"/>
      <c r="N15" s="6"/>
    </row>
    <row r="16" spans="1:17" x14ac:dyDescent="0.3">
      <c r="D16" t="s">
        <v>108</v>
      </c>
      <c r="E16">
        <f>(2+3)/2</f>
        <v>2.5</v>
      </c>
      <c r="L16" s="6">
        <v>0</v>
      </c>
      <c r="M16" s="6"/>
      <c r="N16" s="6"/>
    </row>
    <row r="17" spans="4:14" x14ac:dyDescent="0.3">
      <c r="D17" t="s">
        <v>110</v>
      </c>
      <c r="E17">
        <v>3</v>
      </c>
      <c r="L17" s="6">
        <v>0</v>
      </c>
      <c r="M17" s="6"/>
      <c r="N17" s="6"/>
    </row>
    <row r="18" spans="4:14" x14ac:dyDescent="0.3">
      <c r="L18" s="6">
        <v>0</v>
      </c>
      <c r="M18" s="6"/>
      <c r="N18" s="6"/>
    </row>
    <row r="19" spans="4:14" x14ac:dyDescent="0.3">
      <c r="L19" s="6">
        <v>1</v>
      </c>
      <c r="M19" s="6"/>
      <c r="N19" s="6"/>
    </row>
    <row r="20" spans="4:14" x14ac:dyDescent="0.3">
      <c r="L20" s="6">
        <v>1</v>
      </c>
      <c r="M20" s="6"/>
      <c r="N20" s="6"/>
    </row>
    <row r="21" spans="4:14" x14ac:dyDescent="0.3">
      <c r="L21" s="6">
        <v>1</v>
      </c>
      <c r="M21" s="6"/>
      <c r="N21" s="6"/>
    </row>
    <row r="22" spans="4:14" x14ac:dyDescent="0.3">
      <c r="L22" s="6">
        <v>1</v>
      </c>
      <c r="M22" s="6"/>
      <c r="N22" s="6"/>
    </row>
    <row r="23" spans="4:14" x14ac:dyDescent="0.3">
      <c r="L23" s="6">
        <v>2</v>
      </c>
    </row>
    <row r="24" spans="4:14" x14ac:dyDescent="0.3">
      <c r="L24" s="6">
        <v>2</v>
      </c>
    </row>
    <row r="25" spans="4:14" x14ac:dyDescent="0.3">
      <c r="L25" s="6">
        <v>2</v>
      </c>
    </row>
    <row r="26" spans="4:14" x14ac:dyDescent="0.3">
      <c r="L26" s="6">
        <v>2</v>
      </c>
    </row>
    <row r="27" spans="4:14" x14ac:dyDescent="0.3">
      <c r="L27" s="6">
        <v>3</v>
      </c>
    </row>
    <row r="28" spans="4:14" x14ac:dyDescent="0.3">
      <c r="L28" s="6">
        <v>3</v>
      </c>
    </row>
    <row r="29" spans="4:14" x14ac:dyDescent="0.3">
      <c r="L29" s="6">
        <v>3</v>
      </c>
    </row>
    <row r="30" spans="4:14" x14ac:dyDescent="0.3">
      <c r="L30" s="6">
        <v>3</v>
      </c>
    </row>
    <row r="31" spans="4:14" x14ac:dyDescent="0.3">
      <c r="L31" s="6">
        <v>3</v>
      </c>
    </row>
    <row r="32" spans="4:14" x14ac:dyDescent="0.3">
      <c r="L32" s="6">
        <v>4</v>
      </c>
    </row>
    <row r="33" spans="12:12" x14ac:dyDescent="0.3">
      <c r="L33" s="6">
        <v>4</v>
      </c>
    </row>
    <row r="34" spans="12:12" x14ac:dyDescent="0.3">
      <c r="L34" s="6">
        <v>4</v>
      </c>
    </row>
    <row r="35" spans="12:12" x14ac:dyDescent="0.3">
      <c r="L35" s="6">
        <v>5</v>
      </c>
    </row>
    <row r="36" spans="12:12" x14ac:dyDescent="0.3">
      <c r="L36" s="6">
        <v>5</v>
      </c>
    </row>
    <row r="37" spans="12:12" x14ac:dyDescent="0.3">
      <c r="L37" s="6">
        <v>5</v>
      </c>
    </row>
    <row r="38" spans="12:12" x14ac:dyDescent="0.3">
      <c r="L38" s="6">
        <v>8</v>
      </c>
    </row>
  </sheetData>
  <sortState xmlns:xlrd2="http://schemas.microsoft.com/office/spreadsheetml/2017/richdata2" ref="L15:L38">
    <sortCondition ref="L14:L38"/>
  </sortState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63EC-BF30-467E-ADB2-192196BC4D4D}">
  <dimension ref="B2:O7"/>
  <sheetViews>
    <sheetView workbookViewId="0">
      <selection activeCell="C8" sqref="C8"/>
    </sheetView>
  </sheetViews>
  <sheetFormatPr defaultRowHeight="14.4" x14ac:dyDescent="0.3"/>
  <sheetData>
    <row r="2" spans="2:15" x14ac:dyDescent="0.3">
      <c r="G2" s="33" t="s">
        <v>60</v>
      </c>
      <c r="H2" s="33"/>
      <c r="I2" s="33"/>
    </row>
    <row r="4" spans="2:15" x14ac:dyDescent="0.3">
      <c r="B4" s="8" t="s">
        <v>61</v>
      </c>
      <c r="C4" s="17">
        <v>6</v>
      </c>
      <c r="D4" s="17">
        <v>7</v>
      </c>
      <c r="E4" s="17">
        <v>8</v>
      </c>
      <c r="F4" s="17">
        <v>9</v>
      </c>
      <c r="G4" s="17">
        <v>10</v>
      </c>
      <c r="H4" s="17">
        <v>11</v>
      </c>
      <c r="I4" s="17">
        <v>12</v>
      </c>
      <c r="J4" s="17">
        <v>13</v>
      </c>
      <c r="K4" s="17">
        <v>14</v>
      </c>
      <c r="L4" s="17">
        <v>15</v>
      </c>
      <c r="M4" s="17">
        <v>16</v>
      </c>
      <c r="N4" s="17">
        <v>17</v>
      </c>
      <c r="O4" s="8" t="s">
        <v>62</v>
      </c>
    </row>
    <row r="7" spans="2:15" x14ac:dyDescent="0.3">
      <c r="B7" s="12" t="s">
        <v>63</v>
      </c>
      <c r="C7">
        <f>N4-C4</f>
        <v>11</v>
      </c>
    </row>
  </sheetData>
  <mergeCells count="1"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CC7C-6DBD-4B6A-9179-C73D585615BF}">
  <dimension ref="A1:M23"/>
  <sheetViews>
    <sheetView tabSelected="1" workbookViewId="0">
      <selection activeCell="J11" sqref="J11"/>
    </sheetView>
  </sheetViews>
  <sheetFormatPr defaultRowHeight="14.4" x14ac:dyDescent="0.3"/>
  <cols>
    <col min="8" max="9" width="13.21875" bestFit="1" customWidth="1"/>
  </cols>
  <sheetData>
    <row r="1" spans="1:13" x14ac:dyDescent="0.3">
      <c r="G1" s="24" t="s">
        <v>64</v>
      </c>
      <c r="H1" s="24"/>
      <c r="I1" s="24"/>
      <c r="J1" s="24"/>
      <c r="K1" s="24"/>
      <c r="L1" s="24"/>
      <c r="M1" s="24"/>
    </row>
    <row r="2" spans="1:13" x14ac:dyDescent="0.3">
      <c r="H2" s="5" t="s">
        <v>64</v>
      </c>
      <c r="I2" s="5" t="s">
        <v>65</v>
      </c>
    </row>
    <row r="3" spans="1:13" x14ac:dyDescent="0.3">
      <c r="H3" s="5" t="s">
        <v>66</v>
      </c>
      <c r="I3" s="5" t="s">
        <v>67</v>
      </c>
      <c r="J3" s="5"/>
    </row>
    <row r="4" spans="1:13" x14ac:dyDescent="0.3">
      <c r="A4" s="25" t="s">
        <v>68</v>
      </c>
      <c r="B4" s="25"/>
      <c r="H4" s="5" t="s">
        <v>69</v>
      </c>
      <c r="I4" t="s">
        <v>70</v>
      </c>
    </row>
    <row r="5" spans="1:13" x14ac:dyDescent="0.3">
      <c r="A5" s="25"/>
      <c r="B5" s="25"/>
      <c r="D5" s="27" t="s">
        <v>71</v>
      </c>
      <c r="E5" s="27"/>
    </row>
    <row r="6" spans="1:13" x14ac:dyDescent="0.3">
      <c r="A6" s="26"/>
      <c r="B6" s="26"/>
      <c r="D6" s="23" t="s">
        <v>72</v>
      </c>
      <c r="E6" s="23"/>
      <c r="I6" s="5" t="s">
        <v>73</v>
      </c>
      <c r="J6" s="22">
        <f>MEDIAN(B9:B15)</f>
        <v>32</v>
      </c>
    </row>
    <row r="7" spans="1:13" x14ac:dyDescent="0.3">
      <c r="D7" s="23" t="s">
        <v>74</v>
      </c>
      <c r="E7" s="23"/>
      <c r="I7" s="5" t="s">
        <v>75</v>
      </c>
      <c r="J7" s="22">
        <f>MEDIAN(B9:B23)</f>
        <v>36</v>
      </c>
    </row>
    <row r="8" spans="1:13" x14ac:dyDescent="0.3">
      <c r="A8" s="13" t="s">
        <v>1</v>
      </c>
      <c r="B8" s="13" t="s">
        <v>76</v>
      </c>
      <c r="D8" s="23" t="s">
        <v>73</v>
      </c>
      <c r="E8" s="23"/>
      <c r="I8" s="5" t="s">
        <v>77</v>
      </c>
      <c r="J8" s="22">
        <f>MEDIAN(B17:B23)</f>
        <v>45</v>
      </c>
    </row>
    <row r="9" spans="1:13" x14ac:dyDescent="0.3">
      <c r="A9" s="6" t="s">
        <v>82</v>
      </c>
      <c r="B9" s="20">
        <v>25</v>
      </c>
      <c r="D9" s="23" t="s">
        <v>77</v>
      </c>
      <c r="E9" s="23"/>
      <c r="I9" s="5" t="s">
        <v>64</v>
      </c>
      <c r="J9" s="22">
        <f>J8-J6</f>
        <v>13</v>
      </c>
    </row>
    <row r="10" spans="1:13" x14ac:dyDescent="0.3">
      <c r="A10" s="6" t="s">
        <v>81</v>
      </c>
      <c r="B10" s="20">
        <v>27</v>
      </c>
    </row>
    <row r="11" spans="1:13" x14ac:dyDescent="0.3">
      <c r="A11" s="6" t="s">
        <v>80</v>
      </c>
      <c r="B11" s="20">
        <v>28</v>
      </c>
      <c r="I11" s="5" t="s">
        <v>66</v>
      </c>
      <c r="J11">
        <f>J6-1.5*J9</f>
        <v>12.5</v>
      </c>
    </row>
    <row r="12" spans="1:13" x14ac:dyDescent="0.3">
      <c r="A12" s="6" t="s">
        <v>19</v>
      </c>
      <c r="B12" s="20">
        <v>32</v>
      </c>
      <c r="I12" s="5" t="s">
        <v>69</v>
      </c>
      <c r="J12">
        <f>J8+1.5*J9</f>
        <v>64.5</v>
      </c>
    </row>
    <row r="13" spans="1:13" x14ac:dyDescent="0.3">
      <c r="A13" s="6" t="s">
        <v>17</v>
      </c>
      <c r="B13" s="20">
        <v>33</v>
      </c>
    </row>
    <row r="14" spans="1:13" x14ac:dyDescent="0.3">
      <c r="A14" s="6" t="s">
        <v>79</v>
      </c>
      <c r="B14" s="20">
        <v>33</v>
      </c>
    </row>
    <row r="15" spans="1:13" x14ac:dyDescent="0.3">
      <c r="A15" s="6" t="s">
        <v>23</v>
      </c>
      <c r="B15" s="20">
        <v>35</v>
      </c>
    </row>
    <row r="16" spans="1:13" x14ac:dyDescent="0.3">
      <c r="A16" s="6" t="s">
        <v>29</v>
      </c>
      <c r="B16" s="20">
        <v>36</v>
      </c>
    </row>
    <row r="17" spans="1:2" x14ac:dyDescent="0.3">
      <c r="A17" s="6" t="s">
        <v>19</v>
      </c>
      <c r="B17" s="20">
        <v>39</v>
      </c>
    </row>
    <row r="18" spans="1:2" x14ac:dyDescent="0.3">
      <c r="A18" s="6" t="s">
        <v>78</v>
      </c>
      <c r="B18" s="20">
        <v>41</v>
      </c>
    </row>
    <row r="19" spans="1:2" x14ac:dyDescent="0.3">
      <c r="A19" s="6" t="s">
        <v>14</v>
      </c>
      <c r="B19" s="20">
        <v>44</v>
      </c>
    </row>
    <row r="20" spans="1:2" x14ac:dyDescent="0.3">
      <c r="A20" s="6" t="s">
        <v>21</v>
      </c>
      <c r="B20" s="20">
        <v>45</v>
      </c>
    </row>
    <row r="21" spans="1:2" x14ac:dyDescent="0.3">
      <c r="A21" s="6" t="s">
        <v>8</v>
      </c>
      <c r="B21" s="20">
        <v>53</v>
      </c>
    </row>
    <row r="22" spans="1:2" x14ac:dyDescent="0.3">
      <c r="A22" s="6" t="s">
        <v>27</v>
      </c>
      <c r="B22" s="20">
        <v>57</v>
      </c>
    </row>
    <row r="23" spans="1:2" x14ac:dyDescent="0.3">
      <c r="A23" s="6" t="s">
        <v>25</v>
      </c>
      <c r="B23" s="20">
        <v>61</v>
      </c>
    </row>
  </sheetData>
  <autoFilter ref="A8:B23" xr:uid="{77E2CC7C-6DBD-4B6A-9179-C73D585615BF}">
    <sortState xmlns:xlrd2="http://schemas.microsoft.com/office/spreadsheetml/2017/richdata2" ref="A9:B23">
      <sortCondition ref="B8:B23"/>
    </sortState>
  </autoFilter>
  <mergeCells count="7">
    <mergeCell ref="D9:E9"/>
    <mergeCell ref="G1:M1"/>
    <mergeCell ref="A4:B6"/>
    <mergeCell ref="D5:E5"/>
    <mergeCell ref="D6:E6"/>
    <mergeCell ref="D7:E7"/>
    <mergeCell ref="D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2211-74D6-43D8-A086-39E4429B77DE}">
  <dimension ref="B2:R21"/>
  <sheetViews>
    <sheetView workbookViewId="0">
      <selection activeCell="S14" sqref="S14"/>
    </sheetView>
  </sheetViews>
  <sheetFormatPr defaultRowHeight="14.4" x14ac:dyDescent="0.3"/>
  <sheetData>
    <row r="2" spans="2:18" ht="28.8" x14ac:dyDescent="0.3">
      <c r="B2" s="18" t="s">
        <v>83</v>
      </c>
      <c r="C2" s="18" t="s">
        <v>84</v>
      </c>
      <c r="D2" s="18" t="s">
        <v>85</v>
      </c>
      <c r="R2" s="1"/>
    </row>
    <row r="3" spans="2:18" x14ac:dyDescent="0.3">
      <c r="B3" s="19" t="s">
        <v>86</v>
      </c>
      <c r="C3" s="6">
        <v>6</v>
      </c>
      <c r="D3" s="6">
        <v>82</v>
      </c>
    </row>
    <row r="4" spans="2:18" x14ac:dyDescent="0.3">
      <c r="B4" s="19" t="s">
        <v>87</v>
      </c>
      <c r="C4" s="6">
        <v>2</v>
      </c>
      <c r="D4" s="6">
        <v>63</v>
      </c>
    </row>
    <row r="5" spans="2:18" x14ac:dyDescent="0.3">
      <c r="B5" s="19" t="s">
        <v>88</v>
      </c>
      <c r="C5" s="6">
        <v>1</v>
      </c>
      <c r="D5" s="6">
        <v>57</v>
      </c>
    </row>
    <row r="6" spans="2:18" x14ac:dyDescent="0.3">
      <c r="B6" s="19" t="s">
        <v>89</v>
      </c>
      <c r="C6" s="6">
        <v>5</v>
      </c>
      <c r="D6" s="6">
        <v>88</v>
      </c>
    </row>
    <row r="7" spans="2:18" x14ac:dyDescent="0.3">
      <c r="B7" s="19" t="s">
        <v>90</v>
      </c>
      <c r="C7" s="6">
        <v>2</v>
      </c>
      <c r="D7" s="6">
        <v>68</v>
      </c>
    </row>
    <row r="8" spans="2:18" x14ac:dyDescent="0.3">
      <c r="B8" s="19" t="s">
        <v>91</v>
      </c>
      <c r="C8" s="6">
        <v>3</v>
      </c>
      <c r="D8" s="6">
        <v>75</v>
      </c>
    </row>
    <row r="14" spans="2:18" x14ac:dyDescent="0.3">
      <c r="B14" s="13" t="s">
        <v>83</v>
      </c>
      <c r="C14" s="13" t="s">
        <v>92</v>
      </c>
      <c r="D14" s="13" t="s">
        <v>93</v>
      </c>
    </row>
    <row r="15" spans="2:18" x14ac:dyDescent="0.3">
      <c r="B15" s="19" t="s">
        <v>86</v>
      </c>
      <c r="C15" s="6">
        <v>6</v>
      </c>
      <c r="D15" s="6">
        <v>82</v>
      </c>
    </row>
    <row r="16" spans="2:18" x14ac:dyDescent="0.3">
      <c r="B16" s="19" t="s">
        <v>87</v>
      </c>
      <c r="C16" s="6">
        <v>2</v>
      </c>
      <c r="D16" s="6">
        <v>86</v>
      </c>
    </row>
    <row r="17" spans="2:4" x14ac:dyDescent="0.3">
      <c r="B17" s="19" t="s">
        <v>88</v>
      </c>
      <c r="C17" s="6">
        <v>15</v>
      </c>
      <c r="D17" s="6">
        <v>43</v>
      </c>
    </row>
    <row r="18" spans="2:4" x14ac:dyDescent="0.3">
      <c r="B18" s="19" t="s">
        <v>89</v>
      </c>
      <c r="C18" s="6">
        <v>9</v>
      </c>
      <c r="D18" s="6">
        <v>74</v>
      </c>
    </row>
    <row r="19" spans="2:4" x14ac:dyDescent="0.3">
      <c r="B19" s="19" t="s">
        <v>90</v>
      </c>
      <c r="C19" s="6">
        <v>12</v>
      </c>
      <c r="D19" s="6">
        <v>58</v>
      </c>
    </row>
    <row r="20" spans="2:4" x14ac:dyDescent="0.3">
      <c r="B20" s="19" t="s">
        <v>91</v>
      </c>
      <c r="C20" s="6">
        <v>5</v>
      </c>
      <c r="D20" s="6">
        <v>90</v>
      </c>
    </row>
    <row r="21" spans="2:4" x14ac:dyDescent="0.3">
      <c r="B21" s="19" t="s">
        <v>94</v>
      </c>
      <c r="C21" s="6">
        <v>8</v>
      </c>
      <c r="D21" s="6">
        <v>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49BF-DEA4-48FE-86BD-DEA83C4FE091}">
  <dimension ref="A2:F16"/>
  <sheetViews>
    <sheetView workbookViewId="0">
      <selection activeCell="F16" sqref="F16"/>
    </sheetView>
  </sheetViews>
  <sheetFormatPr defaultRowHeight="14.4" x14ac:dyDescent="0.3"/>
  <sheetData>
    <row r="2" spans="1:6" x14ac:dyDescent="0.3">
      <c r="B2" s="13" t="s">
        <v>95</v>
      </c>
      <c r="C2" s="13" t="s">
        <v>96</v>
      </c>
      <c r="D2" s="12" t="s">
        <v>97</v>
      </c>
      <c r="E2" s="12" t="s">
        <v>98</v>
      </c>
      <c r="F2" s="12" t="s">
        <v>99</v>
      </c>
    </row>
    <row r="3" spans="1:6" x14ac:dyDescent="0.3">
      <c r="B3" s="6">
        <v>160</v>
      </c>
      <c r="C3" s="6">
        <v>130</v>
      </c>
      <c r="D3" s="6">
        <f>B3-$B$12</f>
        <v>-15.625</v>
      </c>
      <c r="E3" s="6">
        <f>C3-$C$12</f>
        <v>-40.625</v>
      </c>
      <c r="F3" s="6">
        <f>D3*E3</f>
        <v>634.765625</v>
      </c>
    </row>
    <row r="4" spans="1:6" x14ac:dyDescent="0.3">
      <c r="B4" s="6">
        <v>170</v>
      </c>
      <c r="C4" s="6">
        <v>150</v>
      </c>
      <c r="D4" s="6">
        <f t="shared" ref="D4:D10" si="0">B4-$B$12</f>
        <v>-5.625</v>
      </c>
      <c r="E4" s="6">
        <f t="shared" ref="E4:E10" si="1">C4-$C$12</f>
        <v>-20.625</v>
      </c>
      <c r="F4" s="6">
        <f t="shared" ref="F4:F10" si="2">D4*E4</f>
        <v>116.015625</v>
      </c>
    </row>
    <row r="5" spans="1:6" x14ac:dyDescent="0.3">
      <c r="B5" s="6">
        <v>165</v>
      </c>
      <c r="C5" s="6">
        <v>145</v>
      </c>
      <c r="D5" s="6">
        <f t="shared" si="0"/>
        <v>-10.625</v>
      </c>
      <c r="E5" s="6">
        <f t="shared" si="1"/>
        <v>-25.625</v>
      </c>
      <c r="F5" s="6">
        <f t="shared" si="2"/>
        <v>272.265625</v>
      </c>
    </row>
    <row r="6" spans="1:6" x14ac:dyDescent="0.3">
      <c r="B6" s="6">
        <v>180</v>
      </c>
      <c r="C6" s="6">
        <v>190</v>
      </c>
      <c r="D6" s="6">
        <f t="shared" si="0"/>
        <v>4.375</v>
      </c>
      <c r="E6" s="6">
        <f t="shared" si="1"/>
        <v>19.375</v>
      </c>
      <c r="F6" s="6">
        <f t="shared" si="2"/>
        <v>84.765625</v>
      </c>
    </row>
    <row r="7" spans="1:6" x14ac:dyDescent="0.3">
      <c r="B7" s="6">
        <v>175</v>
      </c>
      <c r="C7" s="6">
        <v>175</v>
      </c>
      <c r="D7" s="6">
        <f t="shared" si="0"/>
        <v>-0.625</v>
      </c>
      <c r="E7" s="6">
        <f t="shared" si="1"/>
        <v>4.375</v>
      </c>
      <c r="F7" s="6">
        <f t="shared" si="2"/>
        <v>-2.734375</v>
      </c>
    </row>
    <row r="8" spans="1:6" x14ac:dyDescent="0.3">
      <c r="B8" s="6">
        <v>190</v>
      </c>
      <c r="C8" s="6">
        <v>210</v>
      </c>
      <c r="D8" s="6">
        <f t="shared" si="0"/>
        <v>14.375</v>
      </c>
      <c r="E8" s="6">
        <f t="shared" si="1"/>
        <v>39.375</v>
      </c>
      <c r="F8" s="6">
        <f t="shared" si="2"/>
        <v>566.015625</v>
      </c>
    </row>
    <row r="9" spans="1:6" x14ac:dyDescent="0.3">
      <c r="B9" s="6">
        <v>185</v>
      </c>
      <c r="C9" s="6">
        <v>180</v>
      </c>
      <c r="D9" s="6">
        <f t="shared" si="0"/>
        <v>9.375</v>
      </c>
      <c r="E9" s="6">
        <f t="shared" si="1"/>
        <v>9.375</v>
      </c>
      <c r="F9" s="6">
        <f t="shared" si="2"/>
        <v>87.890625</v>
      </c>
    </row>
    <row r="10" spans="1:6" x14ac:dyDescent="0.3">
      <c r="B10" s="6">
        <v>180</v>
      </c>
      <c r="C10" s="6">
        <v>185</v>
      </c>
      <c r="D10" s="6">
        <f t="shared" si="0"/>
        <v>4.375</v>
      </c>
      <c r="E10" s="6">
        <f t="shared" si="1"/>
        <v>14.375</v>
      </c>
      <c r="F10" s="6">
        <f t="shared" si="2"/>
        <v>62.890625</v>
      </c>
    </row>
    <row r="11" spans="1:6" x14ac:dyDescent="0.3">
      <c r="D11" s="6"/>
    </row>
    <row r="12" spans="1:6" x14ac:dyDescent="0.3">
      <c r="A12" s="13" t="s">
        <v>72</v>
      </c>
      <c r="B12">
        <f>AVERAGE(B3:B10)</f>
        <v>175.625</v>
      </c>
      <c r="C12">
        <f>AVERAGEA(C3:C10)</f>
        <v>170.625</v>
      </c>
      <c r="F12" s="5">
        <f>SUM(F3:F10)</f>
        <v>1821.875</v>
      </c>
    </row>
    <row r="13" spans="1:6" x14ac:dyDescent="0.3">
      <c r="A13" s="13" t="s">
        <v>100</v>
      </c>
      <c r="B13">
        <f>_xlfn.STDEV.P(B3:B10)</f>
        <v>9.4991775959816653</v>
      </c>
      <c r="C13">
        <f>_xlfn.STDEV.P(C3:C10)</f>
        <v>24.929588343973915</v>
      </c>
    </row>
    <row r="15" spans="1:6" x14ac:dyDescent="0.3">
      <c r="A15" t="s">
        <v>111</v>
      </c>
      <c r="E15" s="1" t="s">
        <v>113</v>
      </c>
      <c r="F15">
        <f>SUM(F3:F10)/(8*$B$13*$C$13)</f>
        <v>0.96167311526793442</v>
      </c>
    </row>
    <row r="16" spans="1:6" x14ac:dyDescent="0.3">
      <c r="E16" s="21" t="s">
        <v>112</v>
      </c>
      <c r="F16">
        <f>CORREL(B3:B10,C3:C10)</f>
        <v>0.96167311526793442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63e1d4-e27e-4894-844c-206c7b1892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48A9A2893E146B5AD28A9F0408C55" ma:contentTypeVersion="11" ma:contentTypeDescription="Create a new document." ma:contentTypeScope="" ma:versionID="33caf0ff08a17628b524ab01297224e4">
  <xsd:schema xmlns:xsd="http://www.w3.org/2001/XMLSchema" xmlns:xs="http://www.w3.org/2001/XMLSchema" xmlns:p="http://schemas.microsoft.com/office/2006/metadata/properties" xmlns:ns3="fc63e1d4-e27e-4894-844c-206c7b189222" targetNamespace="http://schemas.microsoft.com/office/2006/metadata/properties" ma:root="true" ma:fieldsID="be0cf0044ff9e1e4734bc982e7822a99" ns3:_="">
    <xsd:import namespace="fc63e1d4-e27e-4894-844c-206c7b1892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3e1d4-e27e-4894-844c-206c7b1892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E328DF-EC4B-4891-9BB8-76901FB62E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BEC269-F69B-40C7-A159-60C4A4092746}">
  <ds:schemaRefs>
    <ds:schemaRef ds:uri="http://schemas.microsoft.com/office/2006/metadata/properties"/>
    <ds:schemaRef ds:uri="http://schemas.microsoft.com/office/infopath/2007/PartnerControls"/>
    <ds:schemaRef ds:uri="fc63e1d4-e27e-4894-844c-206c7b189222"/>
  </ds:schemaRefs>
</ds:datastoreItem>
</file>

<file path=customXml/itemProps3.xml><?xml version="1.0" encoding="utf-8"?>
<ds:datastoreItem xmlns:ds="http://schemas.openxmlformats.org/officeDocument/2006/customXml" ds:itemID="{D2155E73-B785-4356-8E7A-5F4F0AD73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3e1d4-e27e-4894-844c-206c7b1892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Type</vt:lpstr>
      <vt:lpstr>Mean</vt:lpstr>
      <vt:lpstr>Median</vt:lpstr>
      <vt:lpstr>Rang</vt:lpstr>
      <vt:lpstr>IQR</vt:lpstr>
      <vt:lpstr>Corr</vt:lpstr>
      <vt:lpstr>Correlation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</dc:creator>
  <cp:keywords/>
  <dc:description/>
  <cp:lastModifiedBy>Arwa refaie</cp:lastModifiedBy>
  <cp:revision/>
  <dcterms:created xsi:type="dcterms:W3CDTF">2015-06-05T18:17:20Z</dcterms:created>
  <dcterms:modified xsi:type="dcterms:W3CDTF">2026-08-18T20:39:21Z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2025-10-21T11:31:19Z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63489fb9-1764-445a-bfc5-128ee5b1d076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0x01010056248A9A2893E146B5AD28A9F0408C55</vt:lpwstr>
  </property>
</Properties>
</file>