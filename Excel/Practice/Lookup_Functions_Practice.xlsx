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00AA8E4-EB9B-4BDE-BE43-508339668E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" sheetId="1" r:id="rId1"/>
    <sheet name="HLOOKUP" sheetId="2" r:id="rId2"/>
    <sheet name="X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F28" i="3" a="1"/>
  <c r="F28" i="3" s="1"/>
  <c r="F27" i="3"/>
  <c r="F26" i="3"/>
  <c r="F25" i="3"/>
  <c r="F24" i="3"/>
  <c r="F23" i="3"/>
  <c r="F22" i="3"/>
  <c r="F21" i="3"/>
  <c r="F20" i="3"/>
  <c r="B24" i="2"/>
  <c r="B25" i="2"/>
  <c r="B26" i="2"/>
  <c r="B27" i="2"/>
  <c r="B28" i="2"/>
  <c r="B29" i="2"/>
  <c r="B30" i="2"/>
  <c r="B31" i="2"/>
  <c r="F21" i="2"/>
  <c r="F20" i="2"/>
  <c r="F19" i="2"/>
  <c r="F18" i="2"/>
  <c r="F17" i="2"/>
  <c r="F16" i="2"/>
  <c r="F15" i="2"/>
  <c r="F14" i="2"/>
  <c r="F20" i="1"/>
  <c r="F27" i="1"/>
  <c r="F26" i="1"/>
  <c r="F25" i="1"/>
  <c r="F24" i="1"/>
  <c r="H7" i="1"/>
  <c r="H8" i="1"/>
  <c r="H9" i="1"/>
  <c r="H10" i="1"/>
  <c r="H11" i="1"/>
  <c r="H12" i="1"/>
  <c r="H13" i="1"/>
  <c r="H14" i="1"/>
  <c r="F23" i="1"/>
  <c r="F22" i="1"/>
  <c r="F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<sst xmlns="http://schemas.openxmlformats.org/spreadsheetml/2006/main" count="294" uniqueCount="179">
  <si>
    <t>VLOOKUP Practice</t>
  </si>
  <si>
    <t>Syntax: =VLOOKUP(lookup_value, table_array, col_index_num, [range_lookup])</t>
  </si>
  <si>
    <t>Employee Data</t>
  </si>
  <si>
    <t>Employee ID</t>
  </si>
  <si>
    <t>Name</t>
  </si>
  <si>
    <t>Department</t>
  </si>
  <si>
    <t>Job Title</t>
  </si>
  <si>
    <t>Salary</t>
  </si>
  <si>
    <t>City</t>
  </si>
  <si>
    <t>E101</t>
  </si>
  <si>
    <t>Ahmed Ali</t>
  </si>
  <si>
    <t>IT</t>
  </si>
  <si>
    <t>Data Analyst</t>
  </si>
  <si>
    <t>Cairo</t>
  </si>
  <si>
    <t>E102</t>
  </si>
  <si>
    <t>Sara Mohamed</t>
  </si>
  <si>
    <t>HR</t>
  </si>
  <si>
    <t>HR Specialist</t>
  </si>
  <si>
    <t>Giza</t>
  </si>
  <si>
    <t>E103</t>
  </si>
  <si>
    <t>Omar Hassan</t>
  </si>
  <si>
    <t>Finance</t>
  </si>
  <si>
    <t>Accountant</t>
  </si>
  <si>
    <t>E104</t>
  </si>
  <si>
    <t>Mariam Adel</t>
  </si>
  <si>
    <t>Marketing</t>
  </si>
  <si>
    <t>Marketing Specialist</t>
  </si>
  <si>
    <t>Alexandria</t>
  </si>
  <si>
    <t>E105</t>
  </si>
  <si>
    <t>Youssef Samir</t>
  </si>
  <si>
    <t>Backend Developer</t>
  </si>
  <si>
    <t>E106</t>
  </si>
  <si>
    <t>Nada Khaled</t>
  </si>
  <si>
    <t>Sales</t>
  </si>
  <si>
    <t>Sales Executive</t>
  </si>
  <si>
    <t>E107</t>
  </si>
  <si>
    <t>Ali Mostafa</t>
  </si>
  <si>
    <t>Financial Analyst</t>
  </si>
  <si>
    <t>Mansoura</t>
  </si>
  <si>
    <t>E108</t>
  </si>
  <si>
    <t>Salma Ahmed</t>
  </si>
  <si>
    <t>Power BI Developer</t>
  </si>
  <si>
    <t>E109</t>
  </si>
  <si>
    <t>Mohamed Tarek</t>
  </si>
  <si>
    <t>Sales Manager</t>
  </si>
  <si>
    <t>E110</t>
  </si>
  <si>
    <t>Hager Mahmoud</t>
  </si>
  <si>
    <t>Recruiter</t>
  </si>
  <si>
    <t>Exercises</t>
  </si>
  <si>
    <t>No.</t>
  </si>
  <si>
    <t>Question</t>
  </si>
  <si>
    <t>Lookup Value</t>
  </si>
  <si>
    <t>Expected Field</t>
  </si>
  <si>
    <t>Your Formula</t>
  </si>
  <si>
    <t>Your Result</t>
  </si>
  <si>
    <t>Difficulty</t>
  </si>
  <si>
    <t>Notes</t>
  </si>
  <si>
    <t>Find the employee name using Employee ID E105.</t>
  </si>
  <si>
    <t>Easy</t>
  </si>
  <si>
    <t>Find the department of employee E108.</t>
  </si>
  <si>
    <t>Find the salary of employee E103.</t>
  </si>
  <si>
    <t>Find the job title of employee E105.</t>
  </si>
  <si>
    <t>Find the city of employee E109.</t>
  </si>
  <si>
    <t>Use cell C25 as a dynamic lookup value and return the employee name.</t>
  </si>
  <si>
    <t>Medium</t>
  </si>
  <si>
    <t>Reference the lookup value cell.</t>
  </si>
  <si>
    <t>Return the salary for the Employee ID entered in C26.</t>
  </si>
  <si>
    <t>Use exact match.</t>
  </si>
  <si>
    <t>Return 'Employee Not Found' if the Employee ID does not exist.</t>
  </si>
  <si>
    <t>E999</t>
  </si>
  <si>
    <t>Combine VLOOKUP with IFERROR.</t>
  </si>
  <si>
    <t>HLOOKUP Practice</t>
  </si>
  <si>
    <t>Syntax: =HLOOKUP(lookup_value, table_array, row_index_num, [range_lookup])</t>
  </si>
  <si>
    <t>Monthly Performance Data</t>
  </si>
  <si>
    <t>Month</t>
  </si>
  <si>
    <t>January</t>
  </si>
  <si>
    <t>February</t>
  </si>
  <si>
    <t>March</t>
  </si>
  <si>
    <t>April</t>
  </si>
  <si>
    <t>May</t>
  </si>
  <si>
    <t>June</t>
  </si>
  <si>
    <t>Target</t>
  </si>
  <si>
    <t>Expenses</t>
  </si>
  <si>
    <t>Customers</t>
  </si>
  <si>
    <t>Find Sales for March.</t>
  </si>
  <si>
    <t>Find Target for May.</t>
  </si>
  <si>
    <t>Find Customers for February.</t>
  </si>
  <si>
    <t>Find Expenses for June.</t>
  </si>
  <si>
    <t>Use the month entered in C19 to return Sales.</t>
  </si>
  <si>
    <t>Use the month entered in C20 to return Target.</t>
  </si>
  <si>
    <t>Return 'Month Not Found' when the month does not exist.</t>
  </si>
  <si>
    <t>December</t>
  </si>
  <si>
    <t>Combine HLOOKUP with IFERROR.</t>
  </si>
  <si>
    <t>Return the number of Customers for the month selected in C22.</t>
  </si>
  <si>
    <t>XLOOKUP Practice</t>
  </si>
  <si>
    <t>Syntax: =XLOOKUP(lookup_value, lookup_array, return_array, [if_not_found], [match_mode], [search_mode])</t>
  </si>
  <si>
    <t>Product Data</t>
  </si>
  <si>
    <t>Product ID</t>
  </si>
  <si>
    <t>Product Name</t>
  </si>
  <si>
    <t>Category</t>
  </si>
  <si>
    <t>Price</t>
  </si>
  <si>
    <t>Stock</t>
  </si>
  <si>
    <t>Supplier</t>
  </si>
  <si>
    <t>P001</t>
  </si>
  <si>
    <t>Laptop</t>
  </si>
  <si>
    <t>Electronics</t>
  </si>
  <si>
    <t>Tech Store</t>
  </si>
  <si>
    <t>P002</t>
  </si>
  <si>
    <t>Mouse</t>
  </si>
  <si>
    <t>Accessories</t>
  </si>
  <si>
    <t>Smart Tech</t>
  </si>
  <si>
    <t>P003</t>
  </si>
  <si>
    <t>Keyboard</t>
  </si>
  <si>
    <t>P004</t>
  </si>
  <si>
    <t>Monitor</t>
  </si>
  <si>
    <t>Vision Store</t>
  </si>
  <si>
    <t>P005</t>
  </si>
  <si>
    <t>Printer</t>
  </si>
  <si>
    <t>Office Equipment</t>
  </si>
  <si>
    <t>Office Plus</t>
  </si>
  <si>
    <t>P006</t>
  </si>
  <si>
    <t>Headset</t>
  </si>
  <si>
    <t>P007</t>
  </si>
  <si>
    <t>Tablet</t>
  </si>
  <si>
    <t>Digital World</t>
  </si>
  <si>
    <t>P008</t>
  </si>
  <si>
    <t>Scanner</t>
  </si>
  <si>
    <t>P009</t>
  </si>
  <si>
    <t>Webcam</t>
  </si>
  <si>
    <t>P010</t>
  </si>
  <si>
    <t>Projector</t>
  </si>
  <si>
    <t>Find the product name using Product ID P007.</t>
  </si>
  <si>
    <t>Find the price of product P004.</t>
  </si>
  <si>
    <t>Find the stock quantity of product P008.</t>
  </si>
  <si>
    <t>Find the supplier of product P005.</t>
  </si>
  <si>
    <t>Search by Product Name 'Tablet' and return Product ID.</t>
  </si>
  <si>
    <t>Lookup can be from right to left.</t>
  </si>
  <si>
    <t>Search by Product Name 'Webcam' and return Category.</t>
  </si>
  <si>
    <t>Return 'Product Not Found' when Product ID does not exist.</t>
  </si>
  <si>
    <t>P999</t>
  </si>
  <si>
    <t>Use XLOOKUP's if_not_found argument.</t>
  </si>
  <si>
    <t>Search Supplier 'Office Plus' and return the first matching Product ID.</t>
  </si>
  <si>
    <t>Lookup array is Supplier.</t>
  </si>
  <si>
    <t>Return Product Name, Category, and Price for P003 using one XLOOKUP formula.</t>
  </si>
  <si>
    <t>Multiple Columns</t>
  </si>
  <si>
    <t>Advanced</t>
  </si>
  <si>
    <t>Return array can contain multiple columns.</t>
  </si>
  <si>
    <t>Use the value entered in C29 as a dynamic Product ID and return the Supplier.</t>
  </si>
  <si>
    <t>VLOOKUP($C$21,$A$6:$F$16,3,0)</t>
  </si>
  <si>
    <t>VLOOKUP($C$22,$A$6:$F$16,5,0)</t>
  </si>
  <si>
    <t>VLOOKUP($C$23,$A$6:$F$16,4,0)</t>
  </si>
  <si>
    <t>Q1:Q8 (SOLVE WITH vlookup &amp;match&amp;iferror)</t>
  </si>
  <si>
    <t xml:space="preserve">Formula </t>
  </si>
  <si>
    <t>IFERROR(VLOOKUP(C20,$A$6:$F$16,MATCH(D20,$A$6:$F$6,0),0),"Employee Not Found")</t>
  </si>
  <si>
    <t>VLOOKUP($C$24,$A$6:$F$16,6,0)</t>
  </si>
  <si>
    <t>VLOOKUP(C25,$A$6:$F$16,2,0)</t>
  </si>
  <si>
    <t>VLOOKUP($C$26,$A$6:$F$16,5,0)</t>
  </si>
  <si>
    <t>IFERROR(VLOOKUP(C27,$A$6:$F$16,2,0),"Employee Not Found")</t>
  </si>
  <si>
    <t>VLOOKUP($C$20,$A$6:$F$16,2,0)</t>
  </si>
  <si>
    <t>HLOOKUP(C14,$A$6:$G$10,2,0)</t>
  </si>
  <si>
    <t>HLOOKUP(C15,$A$6:$G$10,3,0)</t>
  </si>
  <si>
    <t>HLOOKUP(C16,$A$6:$G$10,5,0)</t>
  </si>
  <si>
    <t>HLOOKUP(C17,$A$6:$G$10,4,0)</t>
  </si>
  <si>
    <t>HLOOKUP(C18,$A$6:$G$10,2,0)</t>
  </si>
  <si>
    <t>HLOOKUP(C19,$A$6:$G$10,3,0)</t>
  </si>
  <si>
    <t>IFERROR(HLOOKUP(C20,$A$6:$G$10,2,0),"Month Not Found")</t>
  </si>
  <si>
    <t>IFERROR(HLOOKUP(C21,$A$6:$G$10,5,0),"Month Not Found")</t>
  </si>
  <si>
    <t>Q1:Q8 solve with (hlookup&amp;match&amp;iferror)</t>
  </si>
  <si>
    <t>Formula</t>
  </si>
  <si>
    <t>IFERROR(HLOOKUP(C14,$A$6:$G$10,MATCH(D14,$A$6:$A$10,0),0),"Month Not Found")</t>
  </si>
  <si>
    <t>XLOOKUP(C20,$A$7:$A$16,$B$7:$B$16)</t>
  </si>
  <si>
    <t>XLOOKUP(C21,$A$7:$A$16,$D$7:$D$16)</t>
  </si>
  <si>
    <t>XLOOKUP(C22,$A$7:$A$16,$E$7:$E$16)</t>
  </si>
  <si>
    <t>XLOOKUP(C23,$A$7:$A$16,$F$7:$F$16)</t>
  </si>
  <si>
    <t>XLOOKUP(C24,$B$7:$B$16,$A$7:$A$16)</t>
  </si>
  <si>
    <t>XLOOKUP(C25,$B$7:$B$16,$C$7:$C$16)</t>
  </si>
  <si>
    <t>IFERROR(XLOOKUP(C26,$A$7:$A$16,$B$7:$B$16),"Product Not Found")</t>
  </si>
  <si>
    <t>XLOOKUP(C27,$F$7:$F$16,$A$7:$A$16)</t>
  </si>
  <si>
    <t>XLOOKUP(C28,A7:A16,B7:D16)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</si>
</sst>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8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2"/>
      <color theme="0"/>
      <name val="Carlito"/>
    </font>
    <font>
      <b/>
      <sz val="12"/>
      <color theme="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/>
    </xf>
    <xf numFmtId="0" fontId="0" fillId="7" borderId="0" xfId="0" applyFill="1"/>
    <xf numFmtId="0" fontId="6" fillId="8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J8" sqref="J8"/>
    </sheetView>
  </sheetViews>
  <sheetFormatPr defaultRowHeight="13.8"/>
  <cols>
    <col min="1" max="1" width="12" customWidth="1"/>
    <col min="2" max="2" width="34" customWidth="1"/>
    <col min="3" max="4" width="18" customWidth="1"/>
    <col min="5" max="5" width="35" customWidth="1"/>
    <col min="6" max="6" width="18" customWidth="1"/>
    <col min="7" max="7" width="14" customWidth="1"/>
    <col min="8" max="8" width="42.8984375" bestFit="1" customWidth="1"/>
    <col min="9" max="10" width="77.09765625" bestFit="1" customWidth="1"/>
  </cols>
  <sheetData>
    <row r="1" spans="1:9" ht="17.399999999999999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9" ht="17.399999999999999" customHeight="1">
      <c r="A2" s="6"/>
      <c r="B2" s="6"/>
      <c r="C2" s="6"/>
      <c r="D2" s="6"/>
      <c r="E2" s="6"/>
      <c r="F2" s="6"/>
      <c r="G2" s="6"/>
      <c r="H2" s="6"/>
    </row>
    <row r="3" spans="1:9" ht="17.399999999999999" customHeight="1">
      <c r="A3" s="7" t="s">
        <v>1</v>
      </c>
      <c r="B3" s="7"/>
      <c r="C3" s="7"/>
      <c r="D3" s="7"/>
      <c r="E3" s="7"/>
      <c r="F3" s="7"/>
      <c r="G3" s="7"/>
      <c r="H3" s="7"/>
    </row>
    <row r="5" spans="1:9">
      <c r="A5" s="8" t="s">
        <v>2</v>
      </c>
      <c r="B5" s="8"/>
      <c r="C5" s="8"/>
      <c r="D5" s="8"/>
      <c r="E5" s="8"/>
      <c r="F5" s="8"/>
    </row>
    <row r="6" spans="1:9" ht="1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H6" s="9" t="s">
        <v>151</v>
      </c>
      <c r="I6" s="10" t="s">
        <v>152</v>
      </c>
    </row>
    <row r="7" spans="1:9">
      <c r="A7" s="2" t="s">
        <v>9</v>
      </c>
      <c r="B7" s="2" t="s">
        <v>10</v>
      </c>
      <c r="C7" s="2" t="s">
        <v>11</v>
      </c>
      <c r="D7" s="2" t="s">
        <v>12</v>
      </c>
      <c r="E7" s="3">
        <v>15000</v>
      </c>
      <c r="F7" s="2" t="s">
        <v>13</v>
      </c>
      <c r="H7" t="str">
        <f>IFERROR(VLOOKUP(C20,$A$6:$F$16,MATCH(D20,$A$6:$F$6,0),0),"Employee Not Found")</f>
        <v>Youssef Samir</v>
      </c>
      <c r="I7" t="s">
        <v>153</v>
      </c>
    </row>
    <row r="8" spans="1:9">
      <c r="A8" s="2" t="s">
        <v>14</v>
      </c>
      <c r="B8" s="2" t="s">
        <v>15</v>
      </c>
      <c r="C8" s="2" t="s">
        <v>16</v>
      </c>
      <c r="D8" s="2" t="s">
        <v>17</v>
      </c>
      <c r="E8" s="3">
        <v>12000</v>
      </c>
      <c r="F8" s="2" t="s">
        <v>18</v>
      </c>
      <c r="H8" t="str">
        <f t="shared" ref="H8:H16" si="0">IFERROR(VLOOKUP(C21,$A$6:$F$16,MATCH(D21,$A$6:$F$6,0),0),"Employee Not Found")</f>
        <v>IT</v>
      </c>
    </row>
    <row r="9" spans="1:9">
      <c r="A9" s="2" t="s">
        <v>19</v>
      </c>
      <c r="B9" s="2" t="s">
        <v>20</v>
      </c>
      <c r="C9" s="2" t="s">
        <v>21</v>
      </c>
      <c r="D9" s="2" t="s">
        <v>22</v>
      </c>
      <c r="E9" s="3">
        <v>13500</v>
      </c>
      <c r="F9" s="2" t="s">
        <v>13</v>
      </c>
      <c r="H9">
        <f t="shared" si="0"/>
        <v>13500</v>
      </c>
    </row>
    <row r="10" spans="1:9">
      <c r="A10" s="2" t="s">
        <v>23</v>
      </c>
      <c r="B10" s="2" t="s">
        <v>24</v>
      </c>
      <c r="C10" s="2" t="s">
        <v>25</v>
      </c>
      <c r="D10" s="2" t="s">
        <v>26</v>
      </c>
      <c r="E10" s="3">
        <v>12500</v>
      </c>
      <c r="F10" s="2" t="s">
        <v>27</v>
      </c>
      <c r="H10" t="str">
        <f t="shared" si="0"/>
        <v>Backend Developer</v>
      </c>
    </row>
    <row r="11" spans="1:9">
      <c r="A11" s="2" t="s">
        <v>28</v>
      </c>
      <c r="B11" s="2" t="s">
        <v>29</v>
      </c>
      <c r="C11" s="2" t="s">
        <v>11</v>
      </c>
      <c r="D11" s="2" t="s">
        <v>30</v>
      </c>
      <c r="E11" s="3">
        <v>18000</v>
      </c>
      <c r="F11" s="2" t="s">
        <v>18</v>
      </c>
      <c r="H11" t="str">
        <f t="shared" si="0"/>
        <v>Alexandria</v>
      </c>
    </row>
    <row r="12" spans="1:9">
      <c r="A12" s="2" t="s">
        <v>31</v>
      </c>
      <c r="B12" s="2" t="s">
        <v>32</v>
      </c>
      <c r="C12" s="2" t="s">
        <v>33</v>
      </c>
      <c r="D12" s="2" t="s">
        <v>34</v>
      </c>
      <c r="E12" s="3">
        <v>11000</v>
      </c>
      <c r="F12" s="2" t="s">
        <v>13</v>
      </c>
      <c r="H12" t="str">
        <f t="shared" si="0"/>
        <v>Ali Mostafa</v>
      </c>
    </row>
    <row r="13" spans="1:9">
      <c r="A13" s="2" t="s">
        <v>35</v>
      </c>
      <c r="B13" s="2" t="s">
        <v>36</v>
      </c>
      <c r="C13" s="2" t="s">
        <v>21</v>
      </c>
      <c r="D13" s="2" t="s">
        <v>37</v>
      </c>
      <c r="E13" s="3">
        <v>16000</v>
      </c>
      <c r="F13" s="2" t="s">
        <v>38</v>
      </c>
      <c r="H13">
        <f t="shared" si="0"/>
        <v>11500</v>
      </c>
    </row>
    <row r="14" spans="1:9">
      <c r="A14" s="2" t="s">
        <v>39</v>
      </c>
      <c r="B14" s="2" t="s">
        <v>40</v>
      </c>
      <c r="C14" s="2" t="s">
        <v>11</v>
      </c>
      <c r="D14" s="2" t="s">
        <v>41</v>
      </c>
      <c r="E14" s="3">
        <v>17000</v>
      </c>
      <c r="F14" s="2" t="s">
        <v>13</v>
      </c>
      <c r="H14" t="str">
        <f t="shared" si="0"/>
        <v>Employee Not Found</v>
      </c>
    </row>
    <row r="15" spans="1:9">
      <c r="A15" s="2" t="s">
        <v>42</v>
      </c>
      <c r="B15" s="2" t="s">
        <v>43</v>
      </c>
      <c r="C15" s="2" t="s">
        <v>33</v>
      </c>
      <c r="D15" s="2" t="s">
        <v>44</v>
      </c>
      <c r="E15" s="3">
        <v>20000</v>
      </c>
      <c r="F15" s="2" t="s">
        <v>27</v>
      </c>
    </row>
    <row r="16" spans="1:9">
      <c r="A16" s="2" t="s">
        <v>45</v>
      </c>
      <c r="B16" s="2" t="s">
        <v>46</v>
      </c>
      <c r="C16" s="2" t="s">
        <v>16</v>
      </c>
      <c r="D16" s="2" t="s">
        <v>47</v>
      </c>
      <c r="E16" s="3">
        <v>11500</v>
      </c>
      <c r="F16" s="2" t="s">
        <v>18</v>
      </c>
    </row>
    <row r="18" spans="1:8">
      <c r="A18" s="8" t="s">
        <v>48</v>
      </c>
      <c r="B18" s="8"/>
      <c r="C18" s="8"/>
      <c r="D18" s="8"/>
      <c r="E18" s="8"/>
      <c r="F18" s="8"/>
      <c r="G18" s="8"/>
      <c r="H18" s="8"/>
    </row>
    <row r="19" spans="1:8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53</v>
      </c>
      <c r="F19" s="1" t="s">
        <v>54</v>
      </c>
      <c r="G19" s="1" t="s">
        <v>55</v>
      </c>
      <c r="H19" s="1" t="s">
        <v>56</v>
      </c>
    </row>
    <row r="20" spans="1:8" ht="27.6">
      <c r="A20" s="2">
        <v>1</v>
      </c>
      <c r="B20" s="2" t="s">
        <v>57</v>
      </c>
      <c r="C20" s="2" t="s">
        <v>28</v>
      </c>
      <c r="D20" s="2" t="s">
        <v>4</v>
      </c>
      <c r="E20" s="4" t="s">
        <v>158</v>
      </c>
      <c r="F20" s="4" t="str">
        <f>VLOOKUP($C$20,$A$6:$F$16,2,0)</f>
        <v>Youssef Samir</v>
      </c>
      <c r="G20" s="2" t="s">
        <v>58</v>
      </c>
      <c r="H20" s="2"/>
    </row>
    <row r="21" spans="1:8">
      <c r="A21" s="2">
        <v>2</v>
      </c>
      <c r="B21" s="2" t="s">
        <v>59</v>
      </c>
      <c r="C21" s="2" t="s">
        <v>39</v>
      </c>
      <c r="D21" s="2" t="s">
        <v>5</v>
      </c>
      <c r="E21" s="4" t="s">
        <v>148</v>
      </c>
      <c r="F21" s="4" t="str">
        <f>VLOOKUP($C$21,$A$6:$F$16,3,0)</f>
        <v>IT</v>
      </c>
      <c r="G21" s="2" t="s">
        <v>58</v>
      </c>
      <c r="H21" s="2"/>
    </row>
    <row r="22" spans="1:8">
      <c r="A22" s="2">
        <v>3</v>
      </c>
      <c r="B22" s="2" t="s">
        <v>60</v>
      </c>
      <c r="C22" s="2" t="s">
        <v>19</v>
      </c>
      <c r="D22" s="2" t="s">
        <v>7</v>
      </c>
      <c r="E22" s="4" t="s">
        <v>149</v>
      </c>
      <c r="F22" s="4">
        <f>VLOOKUP($C$22,$A$6:$F$16,5,0)</f>
        <v>13500</v>
      </c>
      <c r="G22" s="2" t="s">
        <v>58</v>
      </c>
      <c r="H22" s="2"/>
    </row>
    <row r="23" spans="1:8">
      <c r="A23" s="2">
        <v>4</v>
      </c>
      <c r="B23" s="2" t="s">
        <v>61</v>
      </c>
      <c r="C23" s="2" t="s">
        <v>28</v>
      </c>
      <c r="D23" s="2" t="s">
        <v>6</v>
      </c>
      <c r="E23" s="4" t="s">
        <v>150</v>
      </c>
      <c r="F23" s="4" t="str">
        <f>VLOOKUP($C$23,$A$6:$F$16,4,0)</f>
        <v>Backend Developer</v>
      </c>
      <c r="G23" s="2" t="s">
        <v>58</v>
      </c>
      <c r="H23" s="2"/>
    </row>
    <row r="24" spans="1:8">
      <c r="A24" s="2">
        <v>5</v>
      </c>
      <c r="B24" s="2" t="s">
        <v>62</v>
      </c>
      <c r="C24" s="2" t="s">
        <v>42</v>
      </c>
      <c r="D24" s="2" t="s">
        <v>8</v>
      </c>
      <c r="E24" s="4" t="s">
        <v>154</v>
      </c>
      <c r="F24" s="4" t="str">
        <f>VLOOKUP($C$24,$A$6:$F$16,6,0)</f>
        <v>Alexandria</v>
      </c>
      <c r="G24" s="2" t="s">
        <v>58</v>
      </c>
      <c r="H24" s="2"/>
    </row>
    <row r="25" spans="1:8" ht="27.6">
      <c r="A25" s="2">
        <v>6</v>
      </c>
      <c r="B25" s="2" t="s">
        <v>63</v>
      </c>
      <c r="C25" s="2" t="s">
        <v>35</v>
      </c>
      <c r="D25" s="2" t="s">
        <v>4</v>
      </c>
      <c r="E25" s="4" t="s">
        <v>155</v>
      </c>
      <c r="F25" s="4" t="str">
        <f>VLOOKUP(C25,$A$6:$F$16,2,0)</f>
        <v>Ali Mostafa</v>
      </c>
      <c r="G25" s="2" t="s">
        <v>64</v>
      </c>
      <c r="H25" s="2" t="s">
        <v>65</v>
      </c>
    </row>
    <row r="26" spans="1:8" ht="27.6">
      <c r="A26" s="2">
        <v>7</v>
      </c>
      <c r="B26" s="2" t="s">
        <v>66</v>
      </c>
      <c r="C26" s="2" t="s">
        <v>45</v>
      </c>
      <c r="D26" s="2" t="s">
        <v>7</v>
      </c>
      <c r="E26" s="4" t="s">
        <v>156</v>
      </c>
      <c r="F26" s="4">
        <f>VLOOKUP($C$26,$A$6:$F$16,5,0)</f>
        <v>11500</v>
      </c>
      <c r="G26" s="2" t="s">
        <v>64</v>
      </c>
      <c r="H26" s="2" t="s">
        <v>67</v>
      </c>
    </row>
    <row r="27" spans="1:8" ht="27.6">
      <c r="A27" s="2">
        <v>8</v>
      </c>
      <c r="B27" s="2" t="s">
        <v>68</v>
      </c>
      <c r="C27" s="2" t="s">
        <v>69</v>
      </c>
      <c r="D27" s="2" t="s">
        <v>4</v>
      </c>
      <c r="E27" s="4" t="s">
        <v>157</v>
      </c>
      <c r="F27" s="4" t="str">
        <f>IFERROR(VLOOKUP(C27,$A$6:$F$16,2,0),"Employee Not Found")</f>
        <v>Employee Not Found</v>
      </c>
      <c r="G27" s="2" t="s">
        <v>64</v>
      </c>
      <c r="H27" s="2" t="s">
        <v>70</v>
      </c>
    </row>
  </sheetData>
  <mergeCells count="4">
    <mergeCell ref="A1:H2"/>
    <mergeCell ref="A3:H3"/>
    <mergeCell ref="A5:F5"/>
    <mergeCell ref="A18:H18"/>
  </mergeCells>
  <dataValidations count="1">
    <dataValidation type="list" allowBlank="1" showInputMessage="1" showErrorMessage="1" sqref="C25" xr:uid="{D03CE42C-0A31-4DEC-A9B3-6FF42BC7BE68}">
      <formula1>$A$7:$A$16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8" workbookViewId="0">
      <selection activeCell="G22" sqref="G22"/>
    </sheetView>
  </sheetViews>
  <sheetFormatPr defaultRowHeight="13.8"/>
  <cols>
    <col min="1" max="1" width="12" customWidth="1"/>
    <col min="2" max="2" width="34" customWidth="1"/>
    <col min="3" max="4" width="18" customWidth="1"/>
    <col min="5" max="5" width="28" customWidth="1"/>
    <col min="6" max="6" width="18" customWidth="1"/>
    <col min="7" max="7" width="14" customWidth="1"/>
    <col min="8" max="8" width="30" customWidth="1"/>
  </cols>
  <sheetData>
    <row r="1" spans="1:8" ht="17.399999999999999" customHeight="1">
      <c r="A1" s="6" t="s">
        <v>71</v>
      </c>
      <c r="B1" s="6"/>
      <c r="C1" s="6"/>
      <c r="D1" s="6"/>
      <c r="E1" s="6"/>
      <c r="F1" s="6"/>
      <c r="G1" s="6"/>
      <c r="H1" s="6"/>
    </row>
    <row r="2" spans="1:8" ht="17.399999999999999" customHeight="1">
      <c r="A2" s="6"/>
      <c r="B2" s="6"/>
      <c r="C2" s="6"/>
      <c r="D2" s="6"/>
      <c r="E2" s="6"/>
      <c r="F2" s="6"/>
      <c r="G2" s="6"/>
      <c r="H2" s="6"/>
    </row>
    <row r="3" spans="1:8" ht="17.399999999999999" customHeight="1">
      <c r="A3" s="7" t="s">
        <v>72</v>
      </c>
      <c r="B3" s="7"/>
      <c r="C3" s="7"/>
      <c r="D3" s="7"/>
      <c r="E3" s="7"/>
      <c r="F3" s="7"/>
      <c r="G3" s="7"/>
      <c r="H3" s="7"/>
    </row>
    <row r="5" spans="1:8">
      <c r="A5" s="8" t="s">
        <v>73</v>
      </c>
      <c r="B5" s="8"/>
      <c r="C5" s="8"/>
      <c r="D5" s="8"/>
      <c r="E5" s="8"/>
      <c r="F5" s="8"/>
      <c r="G5" s="8"/>
    </row>
    <row r="6" spans="1:8">
      <c r="A6" s="1" t="s">
        <v>74</v>
      </c>
      <c r="B6" s="1" t="s">
        <v>75</v>
      </c>
      <c r="C6" s="1" t="s">
        <v>76</v>
      </c>
      <c r="D6" s="1" t="s">
        <v>77</v>
      </c>
      <c r="E6" s="1" t="s">
        <v>78</v>
      </c>
      <c r="F6" s="1" t="s">
        <v>79</v>
      </c>
      <c r="G6" s="1" t="s">
        <v>80</v>
      </c>
    </row>
    <row r="7" spans="1:8">
      <c r="A7" s="2" t="s">
        <v>33</v>
      </c>
      <c r="B7" s="3">
        <v>120000</v>
      </c>
      <c r="C7" s="3">
        <v>145000</v>
      </c>
      <c r="D7" s="3">
        <v>138000</v>
      </c>
      <c r="E7" s="3">
        <v>160000</v>
      </c>
      <c r="F7" s="3">
        <v>175000</v>
      </c>
      <c r="G7" s="3">
        <v>190000</v>
      </c>
    </row>
    <row r="8" spans="1:8">
      <c r="A8" s="2" t="s">
        <v>81</v>
      </c>
      <c r="B8" s="3">
        <v>130000</v>
      </c>
      <c r="C8" s="3">
        <v>140000</v>
      </c>
      <c r="D8" s="3">
        <v>150000</v>
      </c>
      <c r="E8" s="3">
        <v>155000</v>
      </c>
      <c r="F8" s="3">
        <v>170000</v>
      </c>
      <c r="G8" s="3">
        <v>185000</v>
      </c>
    </row>
    <row r="9" spans="1:8">
      <c r="A9" s="2" t="s">
        <v>82</v>
      </c>
      <c r="B9" s="3">
        <v>60000</v>
      </c>
      <c r="C9" s="3">
        <v>65000</v>
      </c>
      <c r="D9" s="3">
        <v>62000</v>
      </c>
      <c r="E9" s="3">
        <v>70000</v>
      </c>
      <c r="F9" s="3">
        <v>75000</v>
      </c>
      <c r="G9" s="3">
        <v>78000</v>
      </c>
    </row>
    <row r="10" spans="1:8">
      <c r="A10" s="2" t="s">
        <v>83</v>
      </c>
      <c r="B10" s="2">
        <v>450</v>
      </c>
      <c r="C10" s="2">
        <v>510</v>
      </c>
      <c r="D10" s="2">
        <v>490</v>
      </c>
      <c r="E10" s="2">
        <v>550</v>
      </c>
      <c r="F10" s="2">
        <v>610</v>
      </c>
      <c r="G10" s="2">
        <v>670</v>
      </c>
    </row>
    <row r="12" spans="1:8">
      <c r="A12" s="8" t="s">
        <v>48</v>
      </c>
      <c r="B12" s="8"/>
      <c r="C12" s="8"/>
      <c r="D12" s="8"/>
      <c r="E12" s="8"/>
      <c r="F12" s="8"/>
      <c r="G12" s="8"/>
      <c r="H12" s="8"/>
    </row>
    <row r="13" spans="1:8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53</v>
      </c>
      <c r="F13" s="1" t="s">
        <v>54</v>
      </c>
      <c r="G13" s="1" t="s">
        <v>55</v>
      </c>
      <c r="H13" s="1" t="s">
        <v>56</v>
      </c>
    </row>
    <row r="14" spans="1:8" ht="27.6">
      <c r="A14" s="2">
        <v>1</v>
      </c>
      <c r="B14" s="2" t="s">
        <v>84</v>
      </c>
      <c r="C14" s="2" t="s">
        <v>77</v>
      </c>
      <c r="D14" s="2" t="s">
        <v>33</v>
      </c>
      <c r="E14" s="4" t="s">
        <v>159</v>
      </c>
      <c r="F14" s="4">
        <f>HLOOKUP(C14,$A$6:$G$10,2,0)</f>
        <v>138000</v>
      </c>
      <c r="G14" s="2" t="s">
        <v>58</v>
      </c>
      <c r="H14" s="2"/>
    </row>
    <row r="15" spans="1:8" ht="27.6">
      <c r="A15" s="2">
        <v>2</v>
      </c>
      <c r="B15" s="2" t="s">
        <v>85</v>
      </c>
      <c r="C15" s="2" t="s">
        <v>79</v>
      </c>
      <c r="D15" s="2" t="s">
        <v>81</v>
      </c>
      <c r="E15" s="4" t="s">
        <v>160</v>
      </c>
      <c r="F15" s="4">
        <f>HLOOKUP(C15,$A$6:$G$10,3,0)</f>
        <v>170000</v>
      </c>
      <c r="G15" s="2" t="s">
        <v>58</v>
      </c>
      <c r="H15" s="2"/>
    </row>
    <row r="16" spans="1:8" ht="27.6">
      <c r="A16" s="2">
        <v>3</v>
      </c>
      <c r="B16" s="2" t="s">
        <v>86</v>
      </c>
      <c r="C16" s="2" t="s">
        <v>76</v>
      </c>
      <c r="D16" s="2" t="s">
        <v>83</v>
      </c>
      <c r="E16" s="4" t="s">
        <v>161</v>
      </c>
      <c r="F16" s="4">
        <f>HLOOKUP(C16,$A$6:$G$10,5,0)</f>
        <v>510</v>
      </c>
      <c r="G16" s="2" t="s">
        <v>58</v>
      </c>
      <c r="H16" s="2"/>
    </row>
    <row r="17" spans="1:8" ht="27.6">
      <c r="A17" s="2">
        <v>4</v>
      </c>
      <c r="B17" s="2" t="s">
        <v>87</v>
      </c>
      <c r="C17" s="2" t="s">
        <v>80</v>
      </c>
      <c r="D17" s="2" t="s">
        <v>82</v>
      </c>
      <c r="E17" s="4" t="s">
        <v>162</v>
      </c>
      <c r="F17" s="4">
        <f>HLOOKUP(C17,$A$6:$G$10,4,0)</f>
        <v>78000</v>
      </c>
      <c r="G17" s="2" t="s">
        <v>58</v>
      </c>
      <c r="H17" s="2"/>
    </row>
    <row r="18" spans="1:8" ht="27.6">
      <c r="A18" s="2">
        <v>5</v>
      </c>
      <c r="B18" s="2" t="s">
        <v>88</v>
      </c>
      <c r="C18" s="2" t="s">
        <v>78</v>
      </c>
      <c r="D18" s="2" t="s">
        <v>33</v>
      </c>
      <c r="E18" s="4" t="s">
        <v>163</v>
      </c>
      <c r="F18" s="4">
        <f>HLOOKUP(C18,$A$6:$G$10,2,0)</f>
        <v>160000</v>
      </c>
      <c r="G18" s="2" t="s">
        <v>64</v>
      </c>
      <c r="H18" s="2" t="s">
        <v>65</v>
      </c>
    </row>
    <row r="19" spans="1:8" ht="27.6">
      <c r="A19" s="2">
        <v>6</v>
      </c>
      <c r="B19" s="2" t="s">
        <v>89</v>
      </c>
      <c r="C19" s="2" t="s">
        <v>75</v>
      </c>
      <c r="D19" s="2" t="s">
        <v>81</v>
      </c>
      <c r="E19" s="4" t="s">
        <v>164</v>
      </c>
      <c r="F19" s="4">
        <f>HLOOKUP(C19,$A$6:$G$10,3,0)</f>
        <v>130000</v>
      </c>
      <c r="G19" s="2" t="s">
        <v>64</v>
      </c>
      <c r="H19" s="2"/>
    </row>
    <row r="20" spans="1:8" ht="27.6">
      <c r="A20" s="2">
        <v>7</v>
      </c>
      <c r="B20" s="2" t="s">
        <v>90</v>
      </c>
      <c r="C20" s="2" t="s">
        <v>91</v>
      </c>
      <c r="D20" s="2" t="s">
        <v>33</v>
      </c>
      <c r="E20" s="4" t="s">
        <v>165</v>
      </c>
      <c r="F20" s="4" t="str">
        <f>IFERROR(HLOOKUP(C20,$A$6:$G$10,2,0),"Month Not Found")</f>
        <v>Month Not Found</v>
      </c>
      <c r="G20" s="2" t="s">
        <v>64</v>
      </c>
      <c r="H20" s="2" t="s">
        <v>92</v>
      </c>
    </row>
    <row r="21" spans="1:8" ht="27.6">
      <c r="A21" s="2">
        <v>8</v>
      </c>
      <c r="B21" s="2" t="s">
        <v>93</v>
      </c>
      <c r="C21" s="2" t="s">
        <v>80</v>
      </c>
      <c r="D21" s="2" t="s">
        <v>83</v>
      </c>
      <c r="E21" s="4" t="s">
        <v>166</v>
      </c>
      <c r="F21" s="4">
        <f>IFERROR(HLOOKUP(C21,$A$6:$G$10,5,0),"Month Not Found")</f>
        <v>670</v>
      </c>
      <c r="G21" s="2" t="s">
        <v>64</v>
      </c>
      <c r="H21" s="2"/>
    </row>
    <row r="23" spans="1:8" ht="31.2">
      <c r="B23" s="11" t="s">
        <v>167</v>
      </c>
      <c r="C23" s="12" t="s">
        <v>168</v>
      </c>
    </row>
    <row r="24" spans="1:8">
      <c r="B24">
        <f>IFERROR(HLOOKUP(C14,$A$6:$G$10,MATCH(D14,$A$6:$A$10,0),0),"Month Not Found")</f>
        <v>138000</v>
      </c>
      <c r="C24" t="s">
        <v>169</v>
      </c>
    </row>
    <row r="25" spans="1:8">
      <c r="B25">
        <f t="shared" ref="B25:B34" si="0">IFERROR(HLOOKUP(C15,$A$6:$G$10,MATCH(D15,$A$6:$A$10,0),0),"Month Not Found")</f>
        <v>170000</v>
      </c>
    </row>
    <row r="26" spans="1:8">
      <c r="B26">
        <f t="shared" si="0"/>
        <v>510</v>
      </c>
    </row>
    <row r="27" spans="1:8">
      <c r="B27">
        <f t="shared" si="0"/>
        <v>78000</v>
      </c>
    </row>
    <row r="28" spans="1:8">
      <c r="B28">
        <f t="shared" si="0"/>
        <v>160000</v>
      </c>
    </row>
    <row r="29" spans="1:8">
      <c r="B29">
        <f t="shared" si="0"/>
        <v>130000</v>
      </c>
    </row>
    <row r="30" spans="1:8">
      <c r="B30" t="str">
        <f t="shared" si="0"/>
        <v>Month Not Found</v>
      </c>
    </row>
    <row r="31" spans="1:8">
      <c r="B31">
        <f t="shared" si="0"/>
        <v>670</v>
      </c>
    </row>
  </sheetData>
  <mergeCells count="4">
    <mergeCell ref="A1:H2"/>
    <mergeCell ref="A3:H3"/>
    <mergeCell ref="A5:G5"/>
    <mergeCell ref="A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topLeftCell="A12" workbookViewId="0">
      <selection activeCell="C29" sqref="C29"/>
    </sheetView>
  </sheetViews>
  <sheetFormatPr defaultRowHeight="13.8"/>
  <cols>
    <col min="1" max="1" width="12" customWidth="1"/>
    <col min="2" max="2" width="34" customWidth="1"/>
    <col min="3" max="4" width="18" customWidth="1"/>
    <col min="5" max="5" width="35.3984375" bestFit="1" customWidth="1"/>
    <col min="6" max="8" width="18" customWidth="1"/>
    <col min="9" max="9" width="14" customWidth="1"/>
    <col min="10" max="10" width="30" customWidth="1"/>
  </cols>
  <sheetData>
    <row r="1" spans="1:10" ht="17.399999999999999" customHeight="1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</row>
    <row r="2" spans="1:10" ht="17.399999999999999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7.399999999999999" customHeight="1">
      <c r="A3" s="7" t="s">
        <v>95</v>
      </c>
      <c r="B3" s="7"/>
      <c r="C3" s="7"/>
      <c r="D3" s="7"/>
      <c r="E3" s="7"/>
      <c r="F3" s="7"/>
      <c r="G3" s="7"/>
      <c r="H3" s="7"/>
      <c r="I3" s="7"/>
      <c r="J3" s="7"/>
    </row>
    <row r="5" spans="1:10">
      <c r="A5" s="8" t="s">
        <v>96</v>
      </c>
      <c r="B5" s="8"/>
      <c r="C5" s="8"/>
      <c r="D5" s="8"/>
      <c r="E5" s="8"/>
      <c r="F5" s="8"/>
      <c r="G5" s="5"/>
      <c r="H5" s="5"/>
    </row>
    <row r="6" spans="1:10">
      <c r="A6" s="1" t="s">
        <v>97</v>
      </c>
      <c r="B6" s="1" t="s">
        <v>98</v>
      </c>
      <c r="C6" s="1" t="s">
        <v>99</v>
      </c>
      <c r="D6" s="1" t="s">
        <v>100</v>
      </c>
      <c r="E6" s="1" t="s">
        <v>101</v>
      </c>
      <c r="F6" s="1" t="s">
        <v>102</v>
      </c>
      <c r="G6" s="1"/>
      <c r="H6" s="1"/>
    </row>
    <row r="7" spans="1:10">
      <c r="A7" s="2" t="s">
        <v>103</v>
      </c>
      <c r="B7" s="2" t="s">
        <v>104</v>
      </c>
      <c r="C7" s="2" t="s">
        <v>105</v>
      </c>
      <c r="D7" s="3">
        <v>35000</v>
      </c>
      <c r="E7" s="2">
        <v>15</v>
      </c>
      <c r="F7" s="2" t="s">
        <v>106</v>
      </c>
      <c r="G7" s="2"/>
      <c r="H7" s="2"/>
    </row>
    <row r="8" spans="1:10">
      <c r="A8" s="2" t="s">
        <v>107</v>
      </c>
      <c r="B8" s="2" t="s">
        <v>108</v>
      </c>
      <c r="C8" s="2" t="s">
        <v>109</v>
      </c>
      <c r="D8" s="3">
        <v>450</v>
      </c>
      <c r="E8" s="2">
        <v>120</v>
      </c>
      <c r="F8" s="2" t="s">
        <v>110</v>
      </c>
      <c r="G8" s="2"/>
      <c r="H8" s="2"/>
    </row>
    <row r="9" spans="1:10">
      <c r="A9" s="2" t="s">
        <v>111</v>
      </c>
      <c r="B9" s="2" t="s">
        <v>112</v>
      </c>
      <c r="C9" s="2" t="s">
        <v>109</v>
      </c>
      <c r="D9" s="3">
        <v>900</v>
      </c>
      <c r="E9" s="2">
        <v>75</v>
      </c>
      <c r="F9" s="2" t="s">
        <v>110</v>
      </c>
      <c r="G9" s="2"/>
      <c r="H9" s="2"/>
    </row>
    <row r="10" spans="1:10">
      <c r="A10" s="2" t="s">
        <v>113</v>
      </c>
      <c r="B10" s="2" t="s">
        <v>114</v>
      </c>
      <c r="C10" s="2" t="s">
        <v>105</v>
      </c>
      <c r="D10" s="3">
        <v>8500</v>
      </c>
      <c r="E10" s="2">
        <v>30</v>
      </c>
      <c r="F10" s="2" t="s">
        <v>115</v>
      </c>
      <c r="G10" s="2"/>
      <c r="H10" s="2"/>
    </row>
    <row r="11" spans="1:10">
      <c r="A11" s="2" t="s">
        <v>116</v>
      </c>
      <c r="B11" s="2" t="s">
        <v>117</v>
      </c>
      <c r="C11" s="2" t="s">
        <v>118</v>
      </c>
      <c r="D11" s="3">
        <v>6200</v>
      </c>
      <c r="E11" s="2">
        <v>20</v>
      </c>
      <c r="F11" s="2" t="s">
        <v>119</v>
      </c>
      <c r="G11" s="2"/>
      <c r="H11" s="2"/>
    </row>
    <row r="12" spans="1:10">
      <c r="A12" s="2" t="s">
        <v>120</v>
      </c>
      <c r="B12" s="2" t="s">
        <v>121</v>
      </c>
      <c r="C12" s="2" t="s">
        <v>109</v>
      </c>
      <c r="D12" s="3">
        <v>1200</v>
      </c>
      <c r="E12" s="2">
        <v>55</v>
      </c>
      <c r="F12" s="2" t="s">
        <v>106</v>
      </c>
      <c r="G12" s="2"/>
      <c r="H12" s="2"/>
    </row>
    <row r="13" spans="1:10">
      <c r="A13" s="2" t="s">
        <v>122</v>
      </c>
      <c r="B13" s="2" t="s">
        <v>123</v>
      </c>
      <c r="C13" s="2" t="s">
        <v>105</v>
      </c>
      <c r="D13" s="3">
        <v>18000</v>
      </c>
      <c r="E13" s="2">
        <v>18</v>
      </c>
      <c r="F13" s="2" t="s">
        <v>124</v>
      </c>
      <c r="G13" s="2"/>
      <c r="H13" s="2"/>
    </row>
    <row r="14" spans="1:10">
      <c r="A14" s="2" t="s">
        <v>125</v>
      </c>
      <c r="B14" s="2" t="s">
        <v>126</v>
      </c>
      <c r="C14" s="2" t="s">
        <v>118</v>
      </c>
      <c r="D14" s="3">
        <v>4500</v>
      </c>
      <c r="E14" s="2">
        <v>12</v>
      </c>
      <c r="F14" s="2" t="s">
        <v>119</v>
      </c>
      <c r="G14" s="2"/>
      <c r="H14" s="2"/>
    </row>
    <row r="15" spans="1:10">
      <c r="A15" s="2" t="s">
        <v>127</v>
      </c>
      <c r="B15" s="2" t="s">
        <v>128</v>
      </c>
      <c r="C15" s="2" t="s">
        <v>109</v>
      </c>
      <c r="D15" s="3">
        <v>1600</v>
      </c>
      <c r="E15" s="2">
        <v>40</v>
      </c>
      <c r="F15" s="2" t="s">
        <v>115</v>
      </c>
      <c r="G15" s="2"/>
      <c r="H15" s="2"/>
    </row>
    <row r="16" spans="1:10">
      <c r="A16" s="2" t="s">
        <v>129</v>
      </c>
      <c r="B16" s="2" t="s">
        <v>130</v>
      </c>
      <c r="C16" s="2" t="s">
        <v>105</v>
      </c>
      <c r="D16" s="3">
        <v>22000</v>
      </c>
      <c r="E16" s="2">
        <v>8</v>
      </c>
      <c r="F16" s="2" t="s">
        <v>124</v>
      </c>
      <c r="G16" s="2"/>
      <c r="H16" s="2"/>
    </row>
    <row r="18" spans="1:10">
      <c r="A18" s="8" t="s">
        <v>48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1" t="s">
        <v>49</v>
      </c>
      <c r="B19" s="1" t="s">
        <v>50</v>
      </c>
      <c r="C19" s="1" t="s">
        <v>51</v>
      </c>
      <c r="D19" s="1" t="s">
        <v>52</v>
      </c>
      <c r="E19" s="1" t="s">
        <v>53</v>
      </c>
      <c r="F19" s="1" t="s">
        <v>54</v>
      </c>
      <c r="G19" s="1"/>
      <c r="H19" s="1"/>
      <c r="I19" s="1" t="s">
        <v>55</v>
      </c>
      <c r="J19" s="1" t="s">
        <v>56</v>
      </c>
    </row>
    <row r="20" spans="1:10" ht="27.6">
      <c r="A20" s="2">
        <v>1</v>
      </c>
      <c r="B20" s="2" t="s">
        <v>131</v>
      </c>
      <c r="C20" s="2" t="s">
        <v>122</v>
      </c>
      <c r="D20" s="2" t="s">
        <v>98</v>
      </c>
      <c r="E20" s="4" t="s">
        <v>170</v>
      </c>
      <c r="F20" s="4" t="str">
        <f>_xlfn.XLOOKUP(C20,$A$7:$A$16,$B$7:$B$16)</f>
        <v>Tablet</v>
      </c>
      <c r="G20" s="4"/>
      <c r="H20" s="4"/>
      <c r="I20" s="2" t="s">
        <v>58</v>
      </c>
      <c r="J20" s="2"/>
    </row>
    <row r="21" spans="1:10">
      <c r="A21" s="2">
        <v>2</v>
      </c>
      <c r="B21" s="2" t="s">
        <v>132</v>
      </c>
      <c r="C21" s="2" t="s">
        <v>113</v>
      </c>
      <c r="D21" s="2" t="s">
        <v>100</v>
      </c>
      <c r="E21" s="4" t="s">
        <v>171</v>
      </c>
      <c r="F21" s="4">
        <f>_xlfn.XLOOKUP(C21,$A$7:$A$16,$D$7:$D$16)</f>
        <v>8500</v>
      </c>
      <c r="G21" s="4"/>
      <c r="H21" s="4"/>
      <c r="I21" s="2" t="s">
        <v>58</v>
      </c>
      <c r="J21" s="2"/>
    </row>
    <row r="22" spans="1:10">
      <c r="A22" s="2">
        <v>3</v>
      </c>
      <c r="B22" s="2" t="s">
        <v>133</v>
      </c>
      <c r="C22" s="2" t="s">
        <v>125</v>
      </c>
      <c r="D22" s="2" t="s">
        <v>101</v>
      </c>
      <c r="E22" s="4" t="s">
        <v>172</v>
      </c>
      <c r="F22" s="4">
        <f>_xlfn.XLOOKUP(C22,$A$7:$A$16,$E$7:$E$16)</f>
        <v>12</v>
      </c>
      <c r="G22" s="4"/>
      <c r="H22" s="4"/>
      <c r="I22" s="2" t="s">
        <v>58</v>
      </c>
      <c r="J22" s="2"/>
    </row>
    <row r="23" spans="1:10">
      <c r="A23" s="2">
        <v>4</v>
      </c>
      <c r="B23" s="2" t="s">
        <v>134</v>
      </c>
      <c r="C23" s="2" t="s">
        <v>116</v>
      </c>
      <c r="D23" s="2" t="s">
        <v>102</v>
      </c>
      <c r="E23" s="4" t="s">
        <v>173</v>
      </c>
      <c r="F23" s="4" t="str">
        <f>_xlfn.XLOOKUP(C23,$A$7:$A$16,$F$7:$F$16)</f>
        <v>Office Plus</v>
      </c>
      <c r="G23" s="4"/>
      <c r="H23" s="4"/>
      <c r="I23" s="2" t="s">
        <v>58</v>
      </c>
      <c r="J23" s="2"/>
    </row>
    <row r="24" spans="1:10" ht="27.6">
      <c r="A24" s="2">
        <v>5</v>
      </c>
      <c r="B24" s="2" t="s">
        <v>135</v>
      </c>
      <c r="C24" s="2" t="s">
        <v>123</v>
      </c>
      <c r="D24" s="2" t="s">
        <v>97</v>
      </c>
      <c r="E24" s="4" t="s">
        <v>174</v>
      </c>
      <c r="F24" s="4" t="str">
        <f>_xlfn.XLOOKUP(C24,$B$7:$B$16,$A$7:$A$16)</f>
        <v>P007</v>
      </c>
      <c r="G24" s="4"/>
      <c r="H24" s="4"/>
      <c r="I24" s="2" t="s">
        <v>64</v>
      </c>
      <c r="J24" s="2" t="s">
        <v>136</v>
      </c>
    </row>
    <row r="25" spans="1:10" ht="27.6">
      <c r="A25" s="2">
        <v>6</v>
      </c>
      <c r="B25" s="2" t="s">
        <v>137</v>
      </c>
      <c r="C25" s="2" t="s">
        <v>128</v>
      </c>
      <c r="D25" s="2" t="s">
        <v>99</v>
      </c>
      <c r="E25" s="4" t="s">
        <v>175</v>
      </c>
      <c r="F25" s="4" t="str">
        <f>_xlfn.XLOOKUP(C25,$B$7:$B$16,$C$7:$C$16)</f>
        <v>Accessories</v>
      </c>
      <c r="G25" s="4"/>
      <c r="H25" s="4"/>
      <c r="I25" s="2" t="s">
        <v>64</v>
      </c>
      <c r="J25" s="2"/>
    </row>
    <row r="26" spans="1:10" ht="27.6">
      <c r="A26" s="2">
        <v>7</v>
      </c>
      <c r="B26" s="2" t="s">
        <v>138</v>
      </c>
      <c r="C26" s="2" t="s">
        <v>139</v>
      </c>
      <c r="D26" s="2" t="s">
        <v>98</v>
      </c>
      <c r="E26" s="4" t="s">
        <v>176</v>
      </c>
      <c r="F26" s="4" t="str">
        <f>IFERROR(_xlfn.XLOOKUP(C26,$A$7:$A$16,$B$7:$B$16),"Product Not Found")</f>
        <v>Product Not Found</v>
      </c>
      <c r="G26" s="4"/>
      <c r="H26" s="4"/>
      <c r="I26" s="2" t="s">
        <v>64</v>
      </c>
      <c r="J26" s="2" t="s">
        <v>140</v>
      </c>
    </row>
    <row r="27" spans="1:10" ht="27.6">
      <c r="A27" s="2">
        <v>8</v>
      </c>
      <c r="B27" s="2" t="s">
        <v>141</v>
      </c>
      <c r="C27" s="2" t="s">
        <v>119</v>
      </c>
      <c r="D27" s="2" t="s">
        <v>97</v>
      </c>
      <c r="E27" s="4" t="s">
        <v>177</v>
      </c>
      <c r="F27" s="4" t="str">
        <f>_xlfn.XLOOKUP(C27,$F$7:$F$16,$A$7:$A$16)</f>
        <v>P005</v>
      </c>
      <c r="G27" s="4"/>
      <c r="H27" s="4"/>
      <c r="I27" s="2" t="s">
        <v>64</v>
      </c>
      <c r="J27" s="2" t="s">
        <v>142</v>
      </c>
    </row>
    <row r="28" spans="1:10" ht="41.4">
      <c r="A28" s="2">
        <v>9</v>
      </c>
      <c r="B28" s="2" t="s">
        <v>143</v>
      </c>
      <c r="C28" s="2" t="s">
        <v>111</v>
      </c>
      <c r="D28" s="2" t="s">
        <v>144</v>
      </c>
      <c r="E28" s="4" t="s">
        <v>178</v>
      </c>
      <c r="F28" s="4" t="str" cm="1">
        <f t="array" ref="F28:H28">_xlfn.XLOOKUP(C28,A7:A16,B7:D16)</f>
        <v>Keyboard</v>
      </c>
      <c r="G28" s="4" t="str">
        <v>Accessories</v>
      </c>
      <c r="H28" s="4">
        <v>900</v>
      </c>
      <c r="I28" s="2" t="s">
        <v>145</v>
      </c>
      <c r="J28" s="2" t="s">
        <v>146</v>
      </c>
    </row>
    <row r="29" spans="1:10" ht="41.4">
      <c r="A29" s="2">
        <v>10</v>
      </c>
      <c r="B29" s="2" t="s">
        <v>147</v>
      </c>
      <c r="C29" s="2" t="s">
        <v>129</v>
      </c>
      <c r="D29" s="2" t="s">
        <v>102</v>
      </c>
      <c r="E29" s="4"/>
      <c r="F29" s="4" t="str">
        <f>_xlfn.XLOOKUP(C29,A7:A16,F7:F16)</f>
        <v>Digital World</v>
      </c>
      <c r="G29" s="4"/>
      <c r="H29" s="4"/>
      <c r="I29" s="2" t="s">
        <v>64</v>
      </c>
      <c r="J29" s="2" t="s">
        <v>65</v>
      </c>
    </row>
  </sheetData>
  <mergeCells count="4">
    <mergeCell ref="A1:J2"/>
    <mergeCell ref="A3:J3"/>
    <mergeCell ref="A5:F5"/>
    <mergeCell ref="A18:J18"/>
  </mergeCells>
  <dataValidations count="1">
    <dataValidation type="list" allowBlank="1" showInputMessage="1" showErrorMessage="1" sqref="C29" xr:uid="{E2535394-3B89-453B-81E4-8D25108AE39F}">
      <formula1>$A$7:$A$16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Arwa refaie</cp:lastModifiedBy>
  <dcterms:created xsi:type="dcterms:W3CDTF">2026-08-09T18:15:18Z</dcterms:created>
  <dcterms:modified xsi:type="dcterms:W3CDTF">2026-09-01T19:48:26Z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2026-08-09T18:15:08Z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d1f07be9-9196-490c-b8a1-a26e8ddcde4b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