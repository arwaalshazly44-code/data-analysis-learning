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mit\excel\"/>
    </mc:Choice>
  </mc:AlternateContent>
  <xr:revisionPtr revIDLastSave="0" documentId="13_ncr:1_{D7CE6571-C071-435D-A35A-F56377DF5AF2}" xr6:coauthVersionLast="47" xr6:coauthVersionMax="47" xr10:uidLastSave="{00000000-0000-0000-0000-000000000000}"/>
  <bookViews>
    <workbookView xWindow="-108" yWindow="-108" windowWidth="23256" windowHeight="12456" activeTab="10" xr2:uid="{07A9F26F-A9CD-49B4-B8EA-60419DA8E321}"/>
  </bookViews>
  <sheets>
    <sheet name="Equations" sheetId="11" r:id="rId1"/>
    <sheet name="Row_Data" sheetId="23" r:id="rId2"/>
    <sheet name="SUM" sheetId="18" r:id="rId3"/>
    <sheet name="1" sheetId="13" r:id="rId4"/>
    <sheet name="2" sheetId="14" r:id="rId5"/>
    <sheet name="3" sheetId="15" r:id="rId6"/>
    <sheet name="4" sheetId="17" r:id="rId7"/>
    <sheet name="5" sheetId="16" r:id="rId8"/>
    <sheet name="6" sheetId="20" r:id="rId9"/>
    <sheet name="7" sheetId="22" r:id="rId10"/>
    <sheet name="CST" sheetId="3" r:id="rId11"/>
  </sheets>
  <externalReferences>
    <externalReference r:id="rId12"/>
  </externalReferences>
  <definedNames>
    <definedName name="_xlnm._FilterDatabase" localSheetId="7" hidden="1">'5'!$G$9:$K$61</definedName>
    <definedName name="_xlnm._FilterDatabase" localSheetId="8" hidden="1">'6'!$A$1:$C$21</definedName>
    <definedName name="_xlnm._FilterDatabase" localSheetId="9" hidden="1">'7'!$A$1:$J$51</definedName>
    <definedName name="_xlnm._FilterDatabase" localSheetId="1" hidden="1">Row_Data!$A$1:$L$321</definedName>
    <definedName name="ExternalData_1" localSheetId="10" hidden="1">CST!$A$1:$C$321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4" l="1"/>
  <c r="A3" i="13" a="1"/>
  <c r="A3" i="13" s="1"/>
  <c r="I8" i="13"/>
  <c r="I7" i="13"/>
  <c r="J3" i="18"/>
  <c r="J4" i="18"/>
  <c r="J5" i="18"/>
  <c r="J6" i="18"/>
  <c r="J7" i="18"/>
  <c r="J8" i="18"/>
  <c r="J2" i="18"/>
  <c r="I3" i="18"/>
  <c r="I4" i="18"/>
  <c r="I5" i="18"/>
  <c r="I6" i="18"/>
  <c r="I7" i="18"/>
  <c r="I8" i="18"/>
  <c r="I2" i="18"/>
  <c r="E3" i="18"/>
  <c r="E4" i="18"/>
  <c r="E5" i="18"/>
  <c r="E6" i="18"/>
  <c r="E7" i="18"/>
  <c r="E8" i="18"/>
  <c r="E2" i="18"/>
  <c r="H12" i="20"/>
  <c r="O12" i="22"/>
  <c r="O11" i="22"/>
  <c r="O6" i="22"/>
  <c r="O5" i="22"/>
  <c r="O4" i="22"/>
  <c r="O7" i="22"/>
  <c r="O3" i="22"/>
  <c r="H9" i="20"/>
  <c r="H6" i="20"/>
  <c r="H3" i="20"/>
  <c r="I13" i="17"/>
  <c r="I10" i="17"/>
  <c r="F6" i="16"/>
  <c r="F5" i="16"/>
  <c r="F4" i="16"/>
  <c r="F3" i="16"/>
  <c r="F2" i="16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A2" i="15" a="1"/>
  <c r="A2" i="15" s="1"/>
  <c r="H4" i="15"/>
  <c r="G4" i="15"/>
  <c r="L321" i="23"/>
  <c r="K321" i="23"/>
  <c r="L320" i="23"/>
  <c r="K320" i="23"/>
  <c r="L319" i="23"/>
  <c r="K319" i="23"/>
  <c r="L318" i="23"/>
  <c r="K318" i="23"/>
  <c r="L317" i="23"/>
  <c r="K317" i="23"/>
  <c r="L316" i="23"/>
  <c r="K316" i="23"/>
  <c r="L315" i="23"/>
  <c r="K315" i="23"/>
  <c r="L314" i="23"/>
  <c r="K314" i="23"/>
  <c r="L313" i="23"/>
  <c r="K313" i="23"/>
  <c r="L312" i="23"/>
  <c r="K312" i="23"/>
  <c r="L311" i="23"/>
  <c r="K311" i="23"/>
  <c r="L310" i="23"/>
  <c r="K310" i="23"/>
  <c r="L309" i="23"/>
  <c r="K309" i="23"/>
  <c r="L308" i="23"/>
  <c r="K308" i="23"/>
  <c r="L307" i="23"/>
  <c r="K307" i="23"/>
  <c r="L306" i="23"/>
  <c r="K306" i="23"/>
  <c r="L305" i="23"/>
  <c r="K305" i="23"/>
  <c r="L304" i="23"/>
  <c r="K304" i="23"/>
  <c r="L303" i="23"/>
  <c r="K303" i="23"/>
  <c r="L302" i="23"/>
  <c r="K302" i="23"/>
  <c r="L301" i="23"/>
  <c r="K301" i="23"/>
  <c r="L300" i="23"/>
  <c r="K300" i="23"/>
  <c r="L299" i="23"/>
  <c r="K299" i="23"/>
  <c r="L298" i="23"/>
  <c r="K298" i="23"/>
  <c r="L297" i="23"/>
  <c r="K297" i="23"/>
  <c r="L296" i="23"/>
  <c r="K296" i="23"/>
  <c r="L295" i="23"/>
  <c r="K295" i="23"/>
  <c r="L294" i="23"/>
  <c r="K294" i="23"/>
  <c r="L293" i="23"/>
  <c r="K293" i="23"/>
  <c r="L292" i="23"/>
  <c r="K292" i="23"/>
  <c r="L291" i="23"/>
  <c r="K291" i="23"/>
  <c r="L290" i="23"/>
  <c r="K290" i="23"/>
  <c r="L289" i="23"/>
  <c r="K289" i="23"/>
  <c r="L288" i="23"/>
  <c r="K288" i="23"/>
  <c r="L287" i="23"/>
  <c r="K287" i="23"/>
  <c r="L286" i="23"/>
  <c r="K286" i="23"/>
  <c r="L285" i="23"/>
  <c r="K285" i="23"/>
  <c r="L284" i="23"/>
  <c r="K284" i="23"/>
  <c r="L283" i="23"/>
  <c r="K283" i="23"/>
  <c r="L282" i="23"/>
  <c r="K282" i="23"/>
  <c r="L281" i="23"/>
  <c r="K281" i="23"/>
  <c r="L280" i="23"/>
  <c r="K280" i="23"/>
  <c r="L279" i="23"/>
  <c r="K279" i="23"/>
  <c r="L278" i="23"/>
  <c r="K278" i="23"/>
  <c r="L277" i="23"/>
  <c r="K277" i="23"/>
  <c r="L276" i="23"/>
  <c r="K276" i="23"/>
  <c r="L275" i="23"/>
  <c r="K275" i="23"/>
  <c r="L274" i="23"/>
  <c r="K274" i="23"/>
  <c r="L273" i="23"/>
  <c r="K273" i="23"/>
  <c r="L272" i="23"/>
  <c r="K272" i="23"/>
  <c r="L271" i="23"/>
  <c r="K271" i="23"/>
  <c r="L270" i="23"/>
  <c r="K270" i="23"/>
  <c r="L269" i="23"/>
  <c r="K269" i="23"/>
  <c r="L268" i="23"/>
  <c r="K268" i="23"/>
  <c r="L267" i="23"/>
  <c r="K267" i="23"/>
  <c r="L266" i="23"/>
  <c r="K266" i="23"/>
  <c r="L265" i="23"/>
  <c r="K265" i="23"/>
  <c r="L264" i="23"/>
  <c r="K264" i="23"/>
  <c r="L263" i="23"/>
  <c r="K263" i="23"/>
  <c r="L262" i="23"/>
  <c r="K262" i="23"/>
  <c r="L261" i="23"/>
  <c r="K261" i="23"/>
  <c r="L260" i="23"/>
  <c r="K260" i="23"/>
  <c r="L259" i="23"/>
  <c r="K259" i="23"/>
  <c r="L258" i="23"/>
  <c r="K258" i="23"/>
  <c r="L257" i="23"/>
  <c r="K257" i="23"/>
  <c r="L256" i="23"/>
  <c r="K256" i="23"/>
  <c r="L255" i="23"/>
  <c r="K255" i="23"/>
  <c r="L254" i="23"/>
  <c r="K254" i="23"/>
  <c r="L253" i="23"/>
  <c r="K253" i="23"/>
  <c r="L252" i="23"/>
  <c r="K252" i="23"/>
  <c r="L251" i="23"/>
  <c r="K251" i="23"/>
  <c r="L250" i="23"/>
  <c r="K250" i="23"/>
  <c r="L249" i="23"/>
  <c r="K249" i="23"/>
  <c r="L248" i="23"/>
  <c r="K248" i="23"/>
  <c r="L247" i="23"/>
  <c r="K247" i="23"/>
  <c r="L246" i="23"/>
  <c r="K246" i="23"/>
  <c r="L245" i="23"/>
  <c r="K245" i="23"/>
  <c r="L244" i="23"/>
  <c r="K244" i="23"/>
  <c r="L243" i="23"/>
  <c r="K243" i="23"/>
  <c r="L242" i="23"/>
  <c r="K242" i="23"/>
  <c r="L241" i="23"/>
  <c r="K241" i="23"/>
  <c r="L240" i="23"/>
  <c r="K240" i="23"/>
  <c r="L239" i="23"/>
  <c r="K239" i="23"/>
  <c r="L238" i="23"/>
  <c r="K238" i="23"/>
  <c r="L237" i="23"/>
  <c r="K237" i="23"/>
  <c r="L236" i="23"/>
  <c r="K236" i="23"/>
  <c r="L235" i="23"/>
  <c r="K235" i="23"/>
  <c r="L234" i="23"/>
  <c r="K234" i="23"/>
  <c r="L233" i="23"/>
  <c r="K233" i="23"/>
  <c r="L232" i="23"/>
  <c r="K232" i="23"/>
  <c r="L231" i="23"/>
  <c r="K231" i="23"/>
  <c r="L230" i="23"/>
  <c r="K230" i="23"/>
  <c r="L229" i="23"/>
  <c r="K229" i="23"/>
  <c r="L228" i="23"/>
  <c r="K228" i="23"/>
  <c r="L227" i="23"/>
  <c r="K227" i="23"/>
  <c r="L226" i="23"/>
  <c r="K226" i="23"/>
  <c r="L225" i="23"/>
  <c r="K225" i="23"/>
  <c r="L224" i="23"/>
  <c r="K224" i="23"/>
  <c r="L223" i="23"/>
  <c r="K223" i="23"/>
  <c r="L222" i="23"/>
  <c r="K222" i="23"/>
  <c r="L221" i="23"/>
  <c r="K221" i="23"/>
  <c r="L220" i="23"/>
  <c r="K220" i="23"/>
  <c r="L219" i="23"/>
  <c r="K219" i="23"/>
  <c r="L218" i="23"/>
  <c r="K218" i="23"/>
  <c r="L217" i="23"/>
  <c r="K217" i="23"/>
  <c r="L216" i="23"/>
  <c r="K216" i="23"/>
  <c r="L215" i="23"/>
  <c r="K215" i="23"/>
  <c r="L214" i="23"/>
  <c r="K214" i="23"/>
  <c r="L213" i="23"/>
  <c r="K213" i="23"/>
  <c r="L212" i="23"/>
  <c r="K212" i="23"/>
  <c r="L211" i="23"/>
  <c r="K211" i="23"/>
  <c r="L210" i="23"/>
  <c r="K210" i="23"/>
  <c r="L209" i="23"/>
  <c r="K209" i="23"/>
  <c r="L208" i="23"/>
  <c r="K208" i="23"/>
  <c r="L207" i="23"/>
  <c r="K207" i="23"/>
  <c r="L206" i="23"/>
  <c r="K206" i="23"/>
  <c r="L205" i="23"/>
  <c r="K205" i="23"/>
  <c r="L204" i="23"/>
  <c r="K204" i="23"/>
  <c r="L203" i="23"/>
  <c r="K203" i="23"/>
  <c r="L202" i="23"/>
  <c r="K202" i="23"/>
  <c r="L201" i="23"/>
  <c r="K201" i="23"/>
  <c r="L200" i="23"/>
  <c r="K200" i="23"/>
  <c r="L199" i="23"/>
  <c r="K199" i="23"/>
  <c r="L198" i="23"/>
  <c r="K198" i="23"/>
  <c r="L197" i="23"/>
  <c r="K197" i="23"/>
  <c r="L196" i="23"/>
  <c r="K196" i="23"/>
  <c r="L195" i="23"/>
  <c r="K195" i="23"/>
  <c r="L194" i="23"/>
  <c r="K194" i="23"/>
  <c r="L193" i="23"/>
  <c r="K193" i="23"/>
  <c r="L192" i="23"/>
  <c r="K192" i="23"/>
  <c r="L191" i="23"/>
  <c r="K191" i="23"/>
  <c r="L190" i="23"/>
  <c r="K190" i="23"/>
  <c r="L189" i="23"/>
  <c r="K189" i="23"/>
  <c r="L188" i="23"/>
  <c r="K188" i="23"/>
  <c r="L187" i="23"/>
  <c r="K187" i="23"/>
  <c r="L186" i="23"/>
  <c r="K186" i="23"/>
  <c r="L185" i="23"/>
  <c r="K185" i="23"/>
  <c r="L184" i="23"/>
  <c r="K184" i="23"/>
  <c r="L183" i="23"/>
  <c r="K183" i="23"/>
  <c r="L182" i="23"/>
  <c r="K182" i="23"/>
  <c r="L181" i="23"/>
  <c r="K181" i="23"/>
  <c r="L180" i="23"/>
  <c r="K180" i="23"/>
  <c r="L179" i="23"/>
  <c r="K179" i="23"/>
  <c r="L178" i="23"/>
  <c r="K178" i="23"/>
  <c r="L177" i="23"/>
  <c r="K177" i="23"/>
  <c r="L176" i="23"/>
  <c r="K176" i="23"/>
  <c r="L175" i="23"/>
  <c r="K175" i="23"/>
  <c r="L174" i="23"/>
  <c r="K174" i="23"/>
  <c r="L173" i="23"/>
  <c r="K173" i="23"/>
  <c r="L172" i="23"/>
  <c r="K172" i="23"/>
  <c r="L171" i="23"/>
  <c r="K171" i="23"/>
  <c r="L170" i="23"/>
  <c r="K170" i="23"/>
  <c r="L169" i="23"/>
  <c r="K169" i="23"/>
  <c r="L168" i="23"/>
  <c r="K168" i="23"/>
  <c r="L167" i="23"/>
  <c r="K167" i="23"/>
  <c r="L166" i="23"/>
  <c r="K166" i="23"/>
  <c r="L165" i="23"/>
  <c r="K165" i="23"/>
  <c r="L164" i="23"/>
  <c r="K164" i="23"/>
  <c r="L163" i="23"/>
  <c r="K163" i="23"/>
  <c r="L162" i="23"/>
  <c r="K162" i="23"/>
  <c r="L161" i="23"/>
  <c r="K161" i="23"/>
  <c r="L160" i="23"/>
  <c r="K160" i="23"/>
  <c r="L159" i="23"/>
  <c r="K159" i="23"/>
  <c r="L158" i="23"/>
  <c r="K158" i="23"/>
  <c r="L157" i="23"/>
  <c r="K157" i="23"/>
  <c r="L156" i="23"/>
  <c r="K156" i="23"/>
  <c r="L155" i="23"/>
  <c r="K155" i="23"/>
  <c r="L154" i="23"/>
  <c r="K154" i="23"/>
  <c r="L153" i="23"/>
  <c r="K153" i="23"/>
  <c r="L152" i="23"/>
  <c r="K152" i="23"/>
  <c r="L151" i="23"/>
  <c r="K151" i="23"/>
  <c r="L150" i="23"/>
  <c r="K150" i="23"/>
  <c r="L149" i="23"/>
  <c r="K149" i="23"/>
  <c r="L148" i="23"/>
  <c r="K148" i="23"/>
  <c r="L147" i="23"/>
  <c r="K147" i="23"/>
  <c r="L146" i="23"/>
  <c r="K146" i="23"/>
  <c r="L145" i="23"/>
  <c r="K145" i="23"/>
  <c r="L144" i="23"/>
  <c r="K144" i="23"/>
  <c r="L143" i="23"/>
  <c r="K143" i="23"/>
  <c r="L142" i="23"/>
  <c r="K142" i="23"/>
  <c r="L141" i="23"/>
  <c r="K141" i="23"/>
  <c r="L140" i="23"/>
  <c r="K140" i="23"/>
  <c r="L139" i="23"/>
  <c r="K139" i="23"/>
  <c r="L138" i="23"/>
  <c r="K138" i="23"/>
  <c r="L137" i="23"/>
  <c r="K137" i="23"/>
  <c r="L136" i="23"/>
  <c r="K136" i="23"/>
  <c r="L135" i="23"/>
  <c r="K135" i="23"/>
  <c r="L134" i="23"/>
  <c r="K134" i="23"/>
  <c r="L133" i="23"/>
  <c r="K133" i="23"/>
  <c r="L132" i="23"/>
  <c r="K132" i="23"/>
  <c r="L131" i="23"/>
  <c r="K131" i="23"/>
  <c r="L130" i="23"/>
  <c r="K130" i="23"/>
  <c r="L129" i="23"/>
  <c r="K129" i="23"/>
  <c r="L128" i="23"/>
  <c r="K128" i="23"/>
  <c r="L127" i="23"/>
  <c r="K127" i="23"/>
  <c r="L126" i="23"/>
  <c r="K126" i="23"/>
  <c r="L125" i="23"/>
  <c r="K125" i="23"/>
  <c r="L124" i="23"/>
  <c r="K124" i="23"/>
  <c r="L123" i="23"/>
  <c r="K123" i="23"/>
  <c r="L122" i="23"/>
  <c r="K122" i="23"/>
  <c r="L121" i="23"/>
  <c r="K121" i="23"/>
  <c r="L120" i="23"/>
  <c r="K120" i="23"/>
  <c r="L119" i="23"/>
  <c r="K119" i="23"/>
  <c r="L118" i="23"/>
  <c r="K118" i="23"/>
  <c r="L117" i="23"/>
  <c r="K117" i="23"/>
  <c r="L116" i="23"/>
  <c r="K116" i="23"/>
  <c r="L115" i="23"/>
  <c r="K115" i="23"/>
  <c r="L114" i="23"/>
  <c r="K114" i="23"/>
  <c r="L113" i="23"/>
  <c r="K113" i="23"/>
  <c r="L112" i="23"/>
  <c r="K112" i="23"/>
  <c r="L111" i="23"/>
  <c r="K111" i="23"/>
  <c r="L110" i="23"/>
  <c r="K110" i="23"/>
  <c r="L109" i="23"/>
  <c r="K109" i="23"/>
  <c r="L108" i="23"/>
  <c r="K108" i="23"/>
  <c r="L107" i="23"/>
  <c r="K107" i="23"/>
  <c r="L106" i="23"/>
  <c r="K106" i="23"/>
  <c r="L105" i="23"/>
  <c r="K105" i="23"/>
  <c r="L104" i="23"/>
  <c r="K104" i="23"/>
  <c r="L103" i="23"/>
  <c r="K103" i="23"/>
  <c r="L102" i="23"/>
  <c r="K102" i="23"/>
  <c r="L101" i="23"/>
  <c r="K101" i="23"/>
  <c r="L100" i="23"/>
  <c r="K100" i="23"/>
  <c r="L99" i="23"/>
  <c r="K99" i="23"/>
  <c r="L98" i="23"/>
  <c r="K98" i="23"/>
  <c r="L97" i="23"/>
  <c r="K97" i="23"/>
  <c r="L96" i="23"/>
  <c r="K96" i="23"/>
  <c r="L95" i="23"/>
  <c r="K95" i="23"/>
  <c r="L94" i="23"/>
  <c r="K94" i="23"/>
  <c r="L93" i="23"/>
  <c r="K93" i="23"/>
  <c r="L92" i="23"/>
  <c r="K92" i="23"/>
  <c r="L91" i="23"/>
  <c r="K91" i="23"/>
  <c r="L90" i="23"/>
  <c r="K90" i="23"/>
  <c r="L89" i="23"/>
  <c r="K89" i="23"/>
  <c r="L88" i="23"/>
  <c r="K88" i="23"/>
  <c r="L87" i="23"/>
  <c r="K87" i="23"/>
  <c r="L86" i="23"/>
  <c r="K86" i="23"/>
  <c r="L85" i="23"/>
  <c r="K85" i="23"/>
  <c r="L84" i="23"/>
  <c r="K84" i="23"/>
  <c r="L83" i="23"/>
  <c r="K83" i="23"/>
  <c r="L82" i="23"/>
  <c r="K82" i="23"/>
  <c r="L81" i="23"/>
  <c r="K81" i="23"/>
  <c r="L80" i="23"/>
  <c r="K80" i="23"/>
  <c r="L79" i="23"/>
  <c r="K79" i="23"/>
  <c r="L78" i="23"/>
  <c r="K78" i="23"/>
  <c r="L77" i="23"/>
  <c r="K77" i="23"/>
  <c r="L76" i="23"/>
  <c r="K76" i="23"/>
  <c r="L75" i="23"/>
  <c r="K75" i="23"/>
  <c r="L74" i="23"/>
  <c r="K74" i="23"/>
  <c r="L73" i="23"/>
  <c r="K73" i="23"/>
  <c r="L72" i="23"/>
  <c r="K72" i="23"/>
  <c r="L71" i="23"/>
  <c r="K71" i="23"/>
  <c r="L70" i="23"/>
  <c r="K70" i="23"/>
  <c r="L69" i="23"/>
  <c r="K69" i="23"/>
  <c r="L68" i="23"/>
  <c r="K68" i="23"/>
  <c r="L67" i="23"/>
  <c r="K67" i="23"/>
  <c r="L66" i="23"/>
  <c r="K66" i="23"/>
  <c r="L65" i="23"/>
  <c r="K65" i="23"/>
  <c r="L64" i="23"/>
  <c r="K64" i="23"/>
  <c r="L63" i="23"/>
  <c r="K63" i="23"/>
  <c r="L62" i="23"/>
  <c r="K62" i="23"/>
  <c r="L61" i="23"/>
  <c r="K61" i="23"/>
  <c r="L60" i="23"/>
  <c r="K60" i="23"/>
  <c r="L59" i="23"/>
  <c r="K59" i="23"/>
  <c r="L58" i="23"/>
  <c r="K58" i="23"/>
  <c r="L57" i="23"/>
  <c r="K57" i="23"/>
  <c r="L56" i="23"/>
  <c r="K56" i="23"/>
  <c r="L55" i="23"/>
  <c r="K55" i="23"/>
  <c r="L54" i="23"/>
  <c r="K54" i="23"/>
  <c r="L53" i="23"/>
  <c r="K53" i="23"/>
  <c r="L52" i="23"/>
  <c r="K52" i="23"/>
  <c r="L51" i="23"/>
  <c r="K51" i="23"/>
  <c r="L50" i="23"/>
  <c r="K50" i="23"/>
  <c r="L49" i="23"/>
  <c r="K49" i="23"/>
  <c r="L48" i="23"/>
  <c r="K48" i="23"/>
  <c r="L47" i="23"/>
  <c r="K47" i="23"/>
  <c r="L46" i="23"/>
  <c r="K46" i="23"/>
  <c r="L45" i="23"/>
  <c r="K45" i="23"/>
  <c r="L44" i="23"/>
  <c r="K44" i="23"/>
  <c r="L43" i="23"/>
  <c r="K43" i="23"/>
  <c r="L42" i="23"/>
  <c r="K42" i="23"/>
  <c r="L41" i="23"/>
  <c r="K41" i="23"/>
  <c r="L40" i="23"/>
  <c r="K40" i="23"/>
  <c r="L39" i="23"/>
  <c r="K39" i="23"/>
  <c r="L38" i="23"/>
  <c r="K38" i="23"/>
  <c r="L37" i="23"/>
  <c r="K37" i="23"/>
  <c r="L36" i="23"/>
  <c r="K36" i="23"/>
  <c r="L35" i="23"/>
  <c r="K35" i="23"/>
  <c r="L34" i="23"/>
  <c r="K34" i="23"/>
  <c r="L33" i="23"/>
  <c r="K33" i="23"/>
  <c r="L32" i="23"/>
  <c r="K32" i="23"/>
  <c r="L31" i="23"/>
  <c r="K31" i="23"/>
  <c r="L30" i="23"/>
  <c r="K30" i="23"/>
  <c r="L29" i="23"/>
  <c r="K29" i="23"/>
  <c r="L28" i="23"/>
  <c r="K28" i="23"/>
  <c r="L27" i="23"/>
  <c r="K27" i="23"/>
  <c r="L26" i="23"/>
  <c r="K26" i="23"/>
  <c r="L25" i="23"/>
  <c r="K25" i="23"/>
  <c r="L24" i="23"/>
  <c r="K24" i="23"/>
  <c r="L23" i="23"/>
  <c r="K23" i="23"/>
  <c r="L22" i="23"/>
  <c r="K22" i="23"/>
  <c r="L21" i="23"/>
  <c r="K21" i="23"/>
  <c r="L20" i="23"/>
  <c r="K20" i="23"/>
  <c r="L19" i="23"/>
  <c r="K19" i="23"/>
  <c r="L18" i="23"/>
  <c r="K18" i="23"/>
  <c r="L17" i="23"/>
  <c r="K17" i="23"/>
  <c r="L16" i="23"/>
  <c r="K16" i="23"/>
  <c r="L15" i="23"/>
  <c r="K15" i="23"/>
  <c r="L14" i="23"/>
  <c r="K14" i="23"/>
  <c r="L13" i="23"/>
  <c r="K13" i="23"/>
  <c r="L12" i="23"/>
  <c r="K12" i="23"/>
  <c r="L11" i="23"/>
  <c r="K11" i="23"/>
  <c r="L10" i="23"/>
  <c r="K10" i="23"/>
  <c r="L9" i="23"/>
  <c r="K9" i="23"/>
  <c r="L8" i="23"/>
  <c r="K8" i="23"/>
  <c r="L7" i="23"/>
  <c r="K7" i="23"/>
  <c r="L6" i="23"/>
  <c r="K6" i="23"/>
  <c r="L5" i="23"/>
  <c r="K5" i="23"/>
  <c r="L4" i="23"/>
  <c r="K4" i="23"/>
  <c r="L3" i="23"/>
  <c r="K3" i="23"/>
  <c r="L2" i="23"/>
  <c r="D3" i="18" s="1"/>
  <c r="K2" i="23"/>
  <c r="E6" i="17"/>
  <c r="E5" i="17"/>
  <c r="E4" i="17"/>
  <c r="E3" i="17"/>
  <c r="E2" i="17"/>
  <c r="J3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2" i="22"/>
  <c r="D2" i="18" l="1"/>
  <c r="D8" i="18"/>
  <c r="D7" i="18"/>
  <c r="D6" i="18"/>
  <c r="D5" i="18"/>
  <c r="D4" i="18"/>
  <c r="E7" i="13"/>
  <c r="E6" i="13"/>
  <c r="E5" i="13"/>
  <c r="E4" i="13"/>
  <c r="E3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0E7D46-5609-4D1C-A406-985A8C677559}" keepAlive="1" name="Query - CS" description="Connection to the 'CS' query in the workbook." type="5" refreshedVersion="8" background="1" saveData="1">
    <dbPr connection="Provider=Microsoft.Mashup.OleDb.1;Data Source=$Workbook$;Location=CS;Extended Properties=&quot;&quot;" command="SELECT * FROM [CS]"/>
  </connection>
  <connection id="2" xr16:uid="{08C7FD18-9E0B-4E87-89C9-7C6548237F62}" keepAlive="1" name="Query - CS (2)" description="Connection to the 'CS (2)' query in the workbook." type="5" refreshedVersion="8" background="1" saveData="1">
    <dbPr connection="Provider=Microsoft.Mashup.OleDb.1;Data Source=$Workbook$;Location=&quot;CS (2)&quot;;Extended Properties=&quot;&quot;" command="SELECT * FROM [C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<sst xmlns="http://schemas.openxmlformats.org/spreadsheetml/2006/main" count="3795" uniqueCount="1234">
  <si>
    <t>Text Functions</t>
  </si>
  <si>
    <t>Aggregation Functions</t>
  </si>
  <si>
    <t>LEFT(text, [num_chars])</t>
  </si>
  <si>
    <t>ترجع عدد معين من الحروف من بداية النص (من الشمال).</t>
  </si>
  <si>
    <t>SUM()</t>
  </si>
  <si>
    <t>تجمع كل الأرقام داخل نطاق</t>
  </si>
  <si>
    <t>RIGHT(text, [num_chars])</t>
  </si>
  <si>
    <t>ترجع عدد معين من الحروف من نهاية النص (من اليمين)</t>
  </si>
  <si>
    <t>SUMIF</t>
  </si>
  <si>
    <r>
      <t xml:space="preserve">تستخدم لما يكون عندك </t>
    </r>
    <r>
      <rPr>
        <b/>
        <sz val="11"/>
        <color theme="1"/>
        <rFont val="Aptos Narrow"/>
        <family val="2"/>
        <scheme val="minor"/>
      </rPr>
      <t>شرط واحد فقط</t>
    </r>
    <r>
      <rPr>
        <sz val="11"/>
        <color theme="1"/>
        <rFont val="Aptos Narrow"/>
        <family val="2"/>
        <scheme val="minor"/>
      </rPr>
      <t>.</t>
    </r>
  </si>
  <si>
    <t>MID(text, start_num, num_chars)</t>
  </si>
  <si>
    <t>ترجع جزء من النص من منتصفه (من حرف معين).</t>
  </si>
  <si>
    <t>SUMIFS</t>
  </si>
  <si>
    <r>
      <t xml:space="preserve">تستخدم لما يكون عندك </t>
    </r>
    <r>
      <rPr>
        <b/>
        <sz val="11"/>
        <color theme="1"/>
        <rFont val="Aptos Narrow"/>
        <family val="2"/>
        <scheme val="minor"/>
      </rPr>
      <t>أكثر من شرط</t>
    </r>
    <r>
      <rPr>
        <sz val="11"/>
        <color theme="1"/>
        <rFont val="Aptos Narrow"/>
        <family val="2"/>
        <scheme val="minor"/>
      </rPr>
      <t xml:space="preserve"> (2 أو أكثر).</t>
    </r>
  </si>
  <si>
    <t>LEN(text)</t>
  </si>
  <si>
    <t>تحسب عدد الحروف داخل النص</t>
  </si>
  <si>
    <t>COUNT</t>
  </si>
  <si>
    <r>
      <t xml:space="preserve">تحسب </t>
    </r>
    <r>
      <rPr>
        <b/>
        <sz val="11"/>
        <color theme="1"/>
        <rFont val="Aptos Narrow"/>
        <family val="2"/>
        <scheme val="minor"/>
      </rPr>
      <t>عدد الخلايا اللي فيها أرقام فقط</t>
    </r>
    <r>
      <rPr>
        <sz val="11"/>
        <color theme="1"/>
        <rFont val="Aptos Narrow"/>
        <family val="2"/>
        <scheme val="minor"/>
      </rPr>
      <t>.</t>
    </r>
  </si>
  <si>
    <t>FIND(find_text, within_text, [start_num])</t>
  </si>
  <si>
    <t>تدور على مكان حرف أو كلمة معينة داخل النص (Case Sensitive)</t>
  </si>
  <si>
    <t>COUNTA</t>
  </si>
  <si>
    <r>
      <t xml:space="preserve">تحسب </t>
    </r>
    <r>
      <rPr>
        <b/>
        <sz val="11"/>
        <color theme="1"/>
        <rFont val="Aptos Narrow"/>
        <family val="2"/>
        <scheme val="minor"/>
      </rPr>
      <t>عدد الخلايا الغير فاضية</t>
    </r>
    <r>
      <rPr>
        <sz val="11"/>
        <color theme="1"/>
        <rFont val="Aptos Narrow"/>
        <family val="2"/>
        <scheme val="minor"/>
      </rPr>
      <t xml:space="preserve"> (حتى لو فيها نص).</t>
    </r>
  </si>
  <si>
    <t>SEARCH(find_text, within_text, [start_num])</t>
  </si>
  <si>
    <t>نفس فكرة FIND، بس مش حساسة لحالة الحروف (Case-insensitive)</t>
  </si>
  <si>
    <t>COUNTBLANK</t>
  </si>
  <si>
    <r>
      <t xml:space="preserve">تحسب عدد الخلايا </t>
    </r>
    <r>
      <rPr>
        <b/>
        <sz val="11"/>
        <color theme="1"/>
        <rFont val="Aptos Narrow"/>
        <family val="2"/>
        <scheme val="minor"/>
      </rPr>
      <t>الفاضية</t>
    </r>
  </si>
  <si>
    <t>UPPER(text)</t>
  </si>
  <si>
    <t>تحول كل الحروف إلى Capital (كبيرة).</t>
  </si>
  <si>
    <t>COUNTIF</t>
  </si>
  <si>
    <t>بتعدّ عدد الخلايا اللي تحقق شرط واحد.</t>
  </si>
  <si>
    <t>LOWER(text)</t>
  </si>
  <si>
    <t>تحول كل الحروف إلى Small (صغيرة)</t>
  </si>
  <si>
    <t>COUNTIFS</t>
  </si>
  <si>
    <r>
      <t xml:space="preserve">بتعدّ الخلايا اللي تحقق </t>
    </r>
    <r>
      <rPr>
        <b/>
        <sz val="11"/>
        <color theme="1"/>
        <rFont val="Aptos Narrow"/>
        <family val="2"/>
        <scheme val="minor"/>
      </rPr>
      <t>أكتر من شرط</t>
    </r>
    <r>
      <rPr>
        <sz val="11"/>
        <color theme="1"/>
        <rFont val="Aptos Narrow"/>
        <family val="2"/>
        <scheme val="minor"/>
      </rPr>
      <t>.</t>
    </r>
  </si>
  <si>
    <t>PROPER(text</t>
  </si>
  <si>
    <t>أول حرف من كل كلمة يكون Capital والباقي Small</t>
  </si>
  <si>
    <t>AVERAGE</t>
  </si>
  <si>
    <r>
      <t xml:space="preserve">تحسب </t>
    </r>
    <r>
      <rPr>
        <b/>
        <sz val="11"/>
        <color theme="1"/>
        <rFont val="Aptos Narrow"/>
        <family val="2"/>
        <scheme val="minor"/>
      </rPr>
      <t>المتوسط الحسابي</t>
    </r>
    <r>
      <rPr>
        <sz val="11"/>
        <color theme="1"/>
        <rFont val="Aptos Narrow"/>
        <family val="2"/>
        <scheme val="minor"/>
      </rPr>
      <t xml:space="preserve"> للقيم.</t>
    </r>
  </si>
  <si>
    <t>TRIM(text)</t>
  </si>
  <si>
    <t>يشيل أي مسافات زيادة في النص (ماعدا مسافة واحدة بين الكلمات)</t>
  </si>
  <si>
    <t>AVERAGEIF</t>
  </si>
  <si>
    <r>
      <t xml:space="preserve">بتحسب </t>
    </r>
    <r>
      <rPr>
        <b/>
        <sz val="11"/>
        <color theme="1"/>
        <rFont val="Aptos Narrow"/>
        <family val="2"/>
        <scheme val="minor"/>
      </rPr>
      <t>المتوسط</t>
    </r>
    <r>
      <rPr>
        <sz val="11"/>
        <color theme="1"/>
        <rFont val="Aptos Narrow"/>
        <family val="2"/>
        <scheme val="minor"/>
      </rPr>
      <t xml:space="preserve"> بناءً على شرط واحد.</t>
    </r>
  </si>
  <si>
    <t>TEXTJOIN(delimiter, ignore_empty, text1, [text2], …)</t>
  </si>
  <si>
    <t>تربط النصوص باستخدام فاصل معين (زي مسافة، فاصلة...)</t>
  </si>
  <si>
    <t>AVERAGEIFS</t>
  </si>
  <si>
    <r>
      <t xml:space="preserve">بتحسب </t>
    </r>
    <r>
      <rPr>
        <b/>
        <sz val="11"/>
        <color theme="1"/>
        <rFont val="Aptos Narrow"/>
        <family val="2"/>
        <scheme val="minor"/>
      </rPr>
      <t>المتوسط</t>
    </r>
    <r>
      <rPr>
        <sz val="11"/>
        <color theme="1"/>
        <rFont val="Aptos Narrow"/>
        <family val="2"/>
        <scheme val="minor"/>
      </rPr>
      <t xml:space="preserve"> بناءً على </t>
    </r>
    <r>
      <rPr>
        <b/>
        <sz val="11"/>
        <color theme="1"/>
        <rFont val="Aptos Narrow"/>
        <family val="2"/>
        <scheme val="minor"/>
      </rPr>
      <t>أكثر من شرط</t>
    </r>
    <r>
      <rPr>
        <sz val="11"/>
        <color theme="1"/>
        <rFont val="Aptos Narrow"/>
        <family val="2"/>
        <scheme val="minor"/>
      </rPr>
      <t>.</t>
    </r>
  </si>
  <si>
    <t>SUBSTITUTE(text, old_text, new_text, [instance_num])</t>
  </si>
  <si>
    <t>تستبدل كلمة أو حرف معين في النص (مش حسب المكان، بل حسب القيمة).</t>
  </si>
  <si>
    <t>MAX</t>
  </si>
  <si>
    <r>
      <t xml:space="preserve">ترجع </t>
    </r>
    <r>
      <rPr>
        <b/>
        <sz val="11"/>
        <color theme="1"/>
        <rFont val="Aptos Narrow"/>
        <family val="2"/>
        <scheme val="minor"/>
      </rPr>
      <t>أكبر رقم</t>
    </r>
    <r>
      <rPr>
        <sz val="11"/>
        <color theme="1"/>
        <rFont val="Aptos Narrow"/>
        <family val="2"/>
        <scheme val="minor"/>
      </rPr>
      <t xml:space="preserve"> في النطاق</t>
    </r>
  </si>
  <si>
    <t>MIN</t>
  </si>
  <si>
    <r>
      <t xml:space="preserve">ترجع </t>
    </r>
    <r>
      <rPr>
        <b/>
        <sz val="11"/>
        <color theme="1"/>
        <rFont val="Aptos Narrow"/>
        <family val="2"/>
        <scheme val="minor"/>
      </rPr>
      <t>أصغر رقم</t>
    </r>
    <r>
      <rPr>
        <sz val="11"/>
        <color theme="1"/>
        <rFont val="Aptos Narrow"/>
        <family val="2"/>
        <scheme val="minor"/>
      </rPr>
      <t xml:space="preserve"> في النطاق.</t>
    </r>
  </si>
  <si>
    <t>Statistical Functions</t>
  </si>
  <si>
    <t>AVERAGE(range)</t>
  </si>
  <si>
    <t>يحسب المتوسط الحسابي.</t>
  </si>
  <si>
    <t>MEDIAN(range)</t>
  </si>
  <si>
    <t>يجيب القيمة اللي في منتصف البيانات بعد الترتيب.</t>
  </si>
  <si>
    <t>MODE.SNGL(range)</t>
  </si>
  <si>
    <t>أكثر قيمة مكررة في البيانات.</t>
  </si>
  <si>
    <t>MAX(range)-MIN(range)</t>
  </si>
  <si>
    <t>الفرق بين أكبر وأصغر قيمة.</t>
  </si>
  <si>
    <t>MAX(range)</t>
  </si>
  <si>
    <t>أكبر قيمة.</t>
  </si>
  <si>
    <t>MIN(range)</t>
  </si>
  <si>
    <t>أصغر قيمة.</t>
  </si>
  <si>
    <t>STDEV.S(range)</t>
  </si>
  <si>
    <t>يقيس مدى تشتت القيم لعينة.</t>
  </si>
  <si>
    <t>VAR.S(range)</t>
  </si>
  <si>
    <t>مقياس تشتت القيم لعينة.</t>
  </si>
  <si>
    <t>Customer Email</t>
  </si>
  <si>
    <t>City</t>
  </si>
  <si>
    <t>Total</t>
  </si>
  <si>
    <t>Month</t>
  </si>
  <si>
    <t>espinozamaria@lewis.com</t>
  </si>
  <si>
    <t>West Kayla</t>
  </si>
  <si>
    <t>dyoung@stokes.com</t>
  </si>
  <si>
    <t>West Scottville</t>
  </si>
  <si>
    <t>lee69@hotmail.com</t>
  </si>
  <si>
    <t>Ramirezfurt</t>
  </si>
  <si>
    <t>paul14@hamilton.biz</t>
  </si>
  <si>
    <t>Gutierrezton</t>
  </si>
  <si>
    <t>eric77@gmail.com</t>
  </si>
  <si>
    <t>West Maureen</t>
  </si>
  <si>
    <t>ejones@calderon.com</t>
  </si>
  <si>
    <t>Mccluretown</t>
  </si>
  <si>
    <t>wonghayley@hotmail.com</t>
  </si>
  <si>
    <t>Andreton</t>
  </si>
  <si>
    <t>kelly28@gmail.com</t>
  </si>
  <si>
    <t>South Johnchester</t>
  </si>
  <si>
    <t>taylor42@rogers-carpenter.biz</t>
  </si>
  <si>
    <t>Harringtonport</t>
  </si>
  <si>
    <t>aaronsmith@yahoo.com</t>
  </si>
  <si>
    <t>New Kristinshire</t>
  </si>
  <si>
    <t>debbiebeltran@yahoo.com</t>
  </si>
  <si>
    <t>Lake Lauren</t>
  </si>
  <si>
    <t>krobertson@nelson.biz</t>
  </si>
  <si>
    <t>New Pamelaton</t>
  </si>
  <si>
    <t>sheila17@scott.com</t>
  </si>
  <si>
    <t>South Chris</t>
  </si>
  <si>
    <t>sheila94@hotmail.com</t>
  </si>
  <si>
    <t>South Patrickshire</t>
  </si>
  <si>
    <t>uwolf@gmail.com</t>
  </si>
  <si>
    <t>Johnstad</t>
  </si>
  <si>
    <t>ylindsey@hotmail.com</t>
  </si>
  <si>
    <t>Whitebury</t>
  </si>
  <si>
    <t>bishopjake@yahoo.com</t>
  </si>
  <si>
    <t>South Jenniferview</t>
  </si>
  <si>
    <t>frank54@smith-reid.com</t>
  </si>
  <si>
    <t>Stephenborough</t>
  </si>
  <si>
    <t>scott90@young-douglas.org</t>
  </si>
  <si>
    <t>Jorgechester</t>
  </si>
  <si>
    <t>cesarwilliams@yahoo.com</t>
  </si>
  <si>
    <t>Lake Juliachester</t>
  </si>
  <si>
    <t>robert86@garcia.biz</t>
  </si>
  <si>
    <t>South Deanna</t>
  </si>
  <si>
    <t>lanceacevedo@delacruz.com</t>
  </si>
  <si>
    <t>Glovermouth</t>
  </si>
  <si>
    <t>perkinsdiana@figueroa.info</t>
  </si>
  <si>
    <t>Kaitlinberg</t>
  </si>
  <si>
    <t>richard82@navarro.com</t>
  </si>
  <si>
    <t>Ortiztown</t>
  </si>
  <si>
    <t>wardheather@yahoo.com</t>
  </si>
  <si>
    <t>West Sara</t>
  </si>
  <si>
    <t>cscott@yahoo.com</t>
  </si>
  <si>
    <t>Jennaborough</t>
  </si>
  <si>
    <t>jlewis@cherry-harvey.com</t>
  </si>
  <si>
    <t>Amybury</t>
  </si>
  <si>
    <t>klarson@gmail.com</t>
  </si>
  <si>
    <t>North Rogerland</t>
  </si>
  <si>
    <t>andreastewart@moore.com</t>
  </si>
  <si>
    <t>South Elizabethborough</t>
  </si>
  <si>
    <t>mike73@nelson.com</t>
  </si>
  <si>
    <t>Cynthiamouth</t>
  </si>
  <si>
    <t>rodriguezgabriella@hotmail.com</t>
  </si>
  <si>
    <t>Genefort</t>
  </si>
  <si>
    <t>veronica85@yahoo.com</t>
  </si>
  <si>
    <t>North Jenniferberg</t>
  </si>
  <si>
    <t>jesseberg@oneal.com</t>
  </si>
  <si>
    <t>North Theresaview</t>
  </si>
  <si>
    <t>gonzalezgary@gmail.com</t>
  </si>
  <si>
    <t>Christopherburgh</t>
  </si>
  <si>
    <t>gwallace@barr.com</t>
  </si>
  <si>
    <t>Lake Christianhaven</t>
  </si>
  <si>
    <t>raymondnicole@munoz.biz</t>
  </si>
  <si>
    <t>Jasonmouth</t>
  </si>
  <si>
    <t>escobarclaudia@simmons-morgan.com</t>
  </si>
  <si>
    <t>North Tammychester</t>
  </si>
  <si>
    <t>ibarraharold@dawson.info</t>
  </si>
  <si>
    <t>Stephaniechester</t>
  </si>
  <si>
    <t>smcgee@diaz-sanchez.com</t>
  </si>
  <si>
    <t>Port Alexchester</t>
  </si>
  <si>
    <t>moonshelley@gmail.com</t>
  </si>
  <si>
    <t>Lake Stephanie</t>
  </si>
  <si>
    <t>kim28@bishop.com</t>
  </si>
  <si>
    <t>Julianland</t>
  </si>
  <si>
    <t>lisamahoney@hotmail.com</t>
  </si>
  <si>
    <t>Jeffreymouth</t>
  </si>
  <si>
    <t>ebryant@martinez.com</t>
  </si>
  <si>
    <t>Moodyhaven</t>
  </si>
  <si>
    <t>william38@campos.com</t>
  </si>
  <si>
    <t>Whiteburgh</t>
  </si>
  <si>
    <t>stephenharris@smith-moore.net</t>
  </si>
  <si>
    <t>North Kathleentown</t>
  </si>
  <si>
    <t>katherine43@gmail.com</t>
  </si>
  <si>
    <t>New Davidberg</t>
  </si>
  <si>
    <t>hcollier@gmail.com</t>
  </si>
  <si>
    <t>Foxburgh</t>
  </si>
  <si>
    <t>penacheryl@gmail.com</t>
  </si>
  <si>
    <t>Ashleystad</t>
  </si>
  <si>
    <t>kimberlyconley@johnston.org</t>
  </si>
  <si>
    <t>Huntmouth</t>
  </si>
  <si>
    <t>catherine30@bell.net</t>
  </si>
  <si>
    <t>West Ronnie</t>
  </si>
  <si>
    <t>wmoran@anderson-moore.com</t>
  </si>
  <si>
    <t>New Victor</t>
  </si>
  <si>
    <t>sbrown@hotmail.com</t>
  </si>
  <si>
    <t>Toddview</t>
  </si>
  <si>
    <t>figueroadavid@taylor-lee.biz</t>
  </si>
  <si>
    <t>Nealport</t>
  </si>
  <si>
    <t>heathnatalie@lewis-stevens.com</t>
  </si>
  <si>
    <t>Lake Catherineview</t>
  </si>
  <si>
    <t>allisonhoward@yahoo.com</t>
  </si>
  <si>
    <t>Bennettburgh</t>
  </si>
  <si>
    <t>joyzamora@yahoo.com</t>
  </si>
  <si>
    <t>Rogersberg</t>
  </si>
  <si>
    <t>rwilliams@gmail.com</t>
  </si>
  <si>
    <t>New Ann</t>
  </si>
  <si>
    <t>kaitlyn73@yahoo.com</t>
  </si>
  <si>
    <t>Lake Heatherport</t>
  </si>
  <si>
    <t>richard78@tate-oconnor.com</t>
  </si>
  <si>
    <t>Gavinton</t>
  </si>
  <si>
    <t>alex73@schmidt.com</t>
  </si>
  <si>
    <t>New Brianland</t>
  </si>
  <si>
    <t>wjones@bell.net</t>
  </si>
  <si>
    <t>Stacieton</t>
  </si>
  <si>
    <t>wilsoncrystal@camacho-rodriguez.com</t>
  </si>
  <si>
    <t>Austinland</t>
  </si>
  <si>
    <t>morgan76@rogers.com</t>
  </si>
  <si>
    <t>Kevinville</t>
  </si>
  <si>
    <t>fowlerjeff@knapp-thompson.biz</t>
  </si>
  <si>
    <t>North Williamside</t>
  </si>
  <si>
    <t>cindy99@yahoo.com</t>
  </si>
  <si>
    <t>Davidport</t>
  </si>
  <si>
    <t>cranechad@gmail.com</t>
  </si>
  <si>
    <t>Jordanberg</t>
  </si>
  <si>
    <t>clarkjulia@yahoo.com</t>
  </si>
  <si>
    <t>Port Coreymouth</t>
  </si>
  <si>
    <t>johnwilliams@hernandez.com</t>
  </si>
  <si>
    <t>Lake Alicia</t>
  </si>
  <si>
    <t>jennifer75@yahoo.com</t>
  </si>
  <si>
    <t>Annestad</t>
  </si>
  <si>
    <t>dfitzpatrick@short.com</t>
  </si>
  <si>
    <t>West Destiny</t>
  </si>
  <si>
    <t>knoxjohn@price-lane.biz</t>
  </si>
  <si>
    <t>Lake Jamieborough</t>
  </si>
  <si>
    <t>haleybyrd@gmail.com</t>
  </si>
  <si>
    <t>Markton</t>
  </si>
  <si>
    <t>msmith@hotmail.com</t>
  </si>
  <si>
    <t>New Ericbury</t>
  </si>
  <si>
    <t>david31@yahoo.com</t>
  </si>
  <si>
    <t>South Timothyside</t>
  </si>
  <si>
    <t>brian02@miller.com</t>
  </si>
  <si>
    <t>North Thomas</t>
  </si>
  <si>
    <t>scott06@yahoo.com</t>
  </si>
  <si>
    <t>robert29@blankenship.net</t>
  </si>
  <si>
    <t>Bennettstad</t>
  </si>
  <si>
    <t>jacob74@peters.com</t>
  </si>
  <si>
    <t>Lake Eddie</t>
  </si>
  <si>
    <t>yreed@gmail.com</t>
  </si>
  <si>
    <t>Michaelchester</t>
  </si>
  <si>
    <t>kristen80@bridges.com</t>
  </si>
  <si>
    <t>New Toddport</t>
  </si>
  <si>
    <t>meyerscharles@yahoo.com</t>
  </si>
  <si>
    <t>North Nancy</t>
  </si>
  <si>
    <t>mhill@cooper.net</t>
  </si>
  <si>
    <t>Hollystad</t>
  </si>
  <si>
    <t>byrdricky@beck.com</t>
  </si>
  <si>
    <t>New Chrischester</t>
  </si>
  <si>
    <t>mharrison@yahoo.com</t>
  </si>
  <si>
    <t>New Chelsea</t>
  </si>
  <si>
    <t>johnwilliams@moore-cruz.info</t>
  </si>
  <si>
    <t>Sullivanport</t>
  </si>
  <si>
    <t>charlenedean@jimenez-edwards.com</t>
  </si>
  <si>
    <t>South Josephshire</t>
  </si>
  <si>
    <t>jgreer@yahoo.com</t>
  </si>
  <si>
    <t>North Jennifer</t>
  </si>
  <si>
    <t>xmartinez@gmail.com</t>
  </si>
  <si>
    <t>Lake Laura</t>
  </si>
  <si>
    <t>iflores@aguilar.com</t>
  </si>
  <si>
    <t>Edwinberg</t>
  </si>
  <si>
    <t>jenkinsjennifer@evans-lewis.com</t>
  </si>
  <si>
    <t>Ortizfurt</t>
  </si>
  <si>
    <t>natasha83@yahoo.com</t>
  </si>
  <si>
    <t>Johnmouth</t>
  </si>
  <si>
    <t>dillonmarshall@yahoo.com</t>
  </si>
  <si>
    <t>Morrowville</t>
  </si>
  <si>
    <t>shirleyhubbard@rodgers-bennett.com</t>
  </si>
  <si>
    <t>Wendyborough</t>
  </si>
  <si>
    <t>mortoncassidy@brown.com</t>
  </si>
  <si>
    <t>Lake Tracey</t>
  </si>
  <si>
    <t>deannalewis@foster.com</t>
  </si>
  <si>
    <t>Ramseyberg</t>
  </si>
  <si>
    <t>ofoster@hall.biz</t>
  </si>
  <si>
    <t>Butlerville</t>
  </si>
  <si>
    <t>qharper@gmail.com</t>
  </si>
  <si>
    <t>Taylorland</t>
  </si>
  <si>
    <t>meganramirez@romero.com</t>
  </si>
  <si>
    <t>Shaneberg</t>
  </si>
  <si>
    <t>acharles@hotmail.com</t>
  </si>
  <si>
    <t>Jamesfurt</t>
  </si>
  <si>
    <t>stephanie91@brown-shah.biz</t>
  </si>
  <si>
    <t>Ramirezshire</t>
  </si>
  <si>
    <t>dukejoseph@hotmail.com</t>
  </si>
  <si>
    <t>Mendozastad</t>
  </si>
  <si>
    <t>vmorton@gmail.com</t>
  </si>
  <si>
    <t>West Michael</t>
  </si>
  <si>
    <t>upayne@gmail.com</t>
  </si>
  <si>
    <t>North Joshua</t>
  </si>
  <si>
    <t>krush@hotmail.com</t>
  </si>
  <si>
    <t>Lake David</t>
  </si>
  <si>
    <t>josephhart@gmail.com</t>
  </si>
  <si>
    <t>Lake Stacey</t>
  </si>
  <si>
    <t>stephanie06@yahoo.com</t>
  </si>
  <si>
    <t>South Lisa</t>
  </si>
  <si>
    <t>jeremy98@hotmail.com</t>
  </si>
  <si>
    <t>Dorisland</t>
  </si>
  <si>
    <t>ccrawford@yahoo.com</t>
  </si>
  <si>
    <t>fjohnson@hotmail.com</t>
  </si>
  <si>
    <t>Luischester</t>
  </si>
  <si>
    <t>kyle40@kim.net</t>
  </si>
  <si>
    <t>Robertsstad</t>
  </si>
  <si>
    <t>vrios@yahoo.com</t>
  </si>
  <si>
    <t>Martintown</t>
  </si>
  <si>
    <t>jason41@page-brooks.biz</t>
  </si>
  <si>
    <t>South Lindsey</t>
  </si>
  <si>
    <t>wbrown@yahoo.com</t>
  </si>
  <si>
    <t>Matthewport</t>
  </si>
  <si>
    <t>natalie92@hotmail.com</t>
  </si>
  <si>
    <t>Fletcherside</t>
  </si>
  <si>
    <t>elizabethhughes@joseph.com</t>
  </si>
  <si>
    <t>Flynnshire</t>
  </si>
  <si>
    <t>igill@hotmail.com</t>
  </si>
  <si>
    <t>Stevenmouth</t>
  </si>
  <si>
    <t>xreed@gmail.com</t>
  </si>
  <si>
    <t>North Andrehaven</t>
  </si>
  <si>
    <t>gamblelauren@gmail.com</t>
  </si>
  <si>
    <t>Lake Tonya</t>
  </si>
  <si>
    <t>cervantesjonathan@andrews-mcmahon.net</t>
  </si>
  <si>
    <t>Port Jason</t>
  </si>
  <si>
    <t>christopher82@hotmail.com</t>
  </si>
  <si>
    <t>Johnsonbury</t>
  </si>
  <si>
    <t>llopez@cuevas-henson.com</t>
  </si>
  <si>
    <t>Fryehaven</t>
  </si>
  <si>
    <t>floreswilliam@dawson-moses.biz</t>
  </si>
  <si>
    <t>Harveyville</t>
  </si>
  <si>
    <t>greenglenn@mills.com</t>
  </si>
  <si>
    <t>Lake Amandamouth</t>
  </si>
  <si>
    <t>watsonian@hotmail.com</t>
  </si>
  <si>
    <t>Ronaldside</t>
  </si>
  <si>
    <t>angelacollins@stewart.com</t>
  </si>
  <si>
    <t>Lake Donna</t>
  </si>
  <si>
    <t>tyrone55@hotmail.com</t>
  </si>
  <si>
    <t>Phillipsfort</t>
  </si>
  <si>
    <t>johncross@anderson.com</t>
  </si>
  <si>
    <t>South Yvonneland</t>
  </si>
  <si>
    <t>christopher23@yahoo.com</t>
  </si>
  <si>
    <t>Lake Kyleport</t>
  </si>
  <si>
    <t>tcarroll@gmail.com</t>
  </si>
  <si>
    <t>Port Anthony</t>
  </si>
  <si>
    <t>wilsonjohn@gmail.com</t>
  </si>
  <si>
    <t>Tonyfort</t>
  </si>
  <si>
    <t>aliciagreen@martinez.com</t>
  </si>
  <si>
    <t>Longshire</t>
  </si>
  <si>
    <t>stewartbeth@yahoo.com</t>
  </si>
  <si>
    <t>Lake Lori</t>
  </si>
  <si>
    <t>usanders@baker.com</t>
  </si>
  <si>
    <t>Sawyerborough</t>
  </si>
  <si>
    <t>matthew32@yahoo.com</t>
  </si>
  <si>
    <t>West Angelafurt</t>
  </si>
  <si>
    <t>michelegarcia@hotmail.com</t>
  </si>
  <si>
    <t>Markhaven</t>
  </si>
  <si>
    <t>nvaughn@hotmail.com</t>
  </si>
  <si>
    <t>Dorothyshire</t>
  </si>
  <si>
    <t>martinbryce@gmail.com</t>
  </si>
  <si>
    <t>West Derek</t>
  </si>
  <si>
    <t>jeffrey30@yahoo.com</t>
  </si>
  <si>
    <t>Stewartburgh</t>
  </si>
  <si>
    <t>steven88@hotmail.com</t>
  </si>
  <si>
    <t>Careyshire</t>
  </si>
  <si>
    <t>lisawiley@hotmail.com</t>
  </si>
  <si>
    <t>Pollardborough</t>
  </si>
  <si>
    <t>cbrown@beck.com</t>
  </si>
  <si>
    <t>Lake Emmafort</t>
  </si>
  <si>
    <t>danielharris@hotmail.com</t>
  </si>
  <si>
    <t>Brennanchester</t>
  </si>
  <si>
    <t>browndonna@lamb.com</t>
  </si>
  <si>
    <t>Port Samanthamouth</t>
  </si>
  <si>
    <t>melissameyer@thomas-meyer.net</t>
  </si>
  <si>
    <t>New Tracy</t>
  </si>
  <si>
    <t>jenniferjimenez@johnson-rivas.com</t>
  </si>
  <si>
    <t>Murphystad</t>
  </si>
  <si>
    <t>martineznicholas@gmail.com</t>
  </si>
  <si>
    <t>West Sophia</t>
  </si>
  <si>
    <t>vryan@hotmail.com</t>
  </si>
  <si>
    <t>Nathanton</t>
  </si>
  <si>
    <t>michael25@yahoo.com</t>
  </si>
  <si>
    <t>Port Tiffanytown</t>
  </si>
  <si>
    <t>byrddiana@acosta-sims.net</t>
  </si>
  <si>
    <t>Meyerside</t>
  </si>
  <si>
    <t>bdavis@taylor.com</t>
  </si>
  <si>
    <t>Rileyport</t>
  </si>
  <si>
    <t>reedlinda@moore.com</t>
  </si>
  <si>
    <t>Martinside</t>
  </si>
  <si>
    <t>msellers@hotmail.com</t>
  </si>
  <si>
    <t>New Coltonfurt</t>
  </si>
  <si>
    <t>ymiller@davis.com</t>
  </si>
  <si>
    <t>South Billy</t>
  </si>
  <si>
    <t>jessicamejia@yahoo.com</t>
  </si>
  <si>
    <t>Port Elijahville</t>
  </si>
  <si>
    <t>ryan27@yahoo.com</t>
  </si>
  <si>
    <t>East Jenniferport</t>
  </si>
  <si>
    <t>kentlisa@gmail.com</t>
  </si>
  <si>
    <t>Traceybury</t>
  </si>
  <si>
    <t>smithdaniel@jones.com</t>
  </si>
  <si>
    <t>Breannaport</t>
  </si>
  <si>
    <t>jasonfernandez@yahoo.com</t>
  </si>
  <si>
    <t>Karenburgh</t>
  </si>
  <si>
    <t>uallen@hotmail.com</t>
  </si>
  <si>
    <t>Robertsville</t>
  </si>
  <si>
    <t>scott08@miller.com</t>
  </si>
  <si>
    <t>Hudsonhaven</t>
  </si>
  <si>
    <t>rgarcia@hotmail.com</t>
  </si>
  <si>
    <t>New Rick</t>
  </si>
  <si>
    <t>sjenkins@gmail.com</t>
  </si>
  <si>
    <t>New Crystal</t>
  </si>
  <si>
    <t>joshua30@harris.com</t>
  </si>
  <si>
    <t>New Stephanie</t>
  </si>
  <si>
    <t>gibbsamber@walker.com</t>
  </si>
  <si>
    <t>Colemanbury</t>
  </si>
  <si>
    <t>michele60@garza.com</t>
  </si>
  <si>
    <t>Nelsonfurt</t>
  </si>
  <si>
    <t>jerry70@nielsen-williams.net</t>
  </si>
  <si>
    <t>Lake Bryan</t>
  </si>
  <si>
    <t>fperez@yahoo.com</t>
  </si>
  <si>
    <t>Port Justinside</t>
  </si>
  <si>
    <t>thomassmith@gmail.com</t>
  </si>
  <si>
    <t>North Michael</t>
  </si>
  <si>
    <t>ssimpson@yahoo.com</t>
  </si>
  <si>
    <t>East Patrick</t>
  </si>
  <si>
    <t>antonio56@hotmail.com</t>
  </si>
  <si>
    <t>Tyroneton</t>
  </si>
  <si>
    <t>goodmanlisa@hardy-patterson.com</t>
  </si>
  <si>
    <t>Carterville</t>
  </si>
  <si>
    <t>starkstacey@brown.com</t>
  </si>
  <si>
    <t>North Karen</t>
  </si>
  <si>
    <t>oliverkevin@bond-fox.net</t>
  </si>
  <si>
    <t>Smithview</t>
  </si>
  <si>
    <t>ujames@acosta-johnson.com</t>
  </si>
  <si>
    <t>South Toni</t>
  </si>
  <si>
    <t>brandymurphy@baker.com</t>
  </si>
  <si>
    <t>Ericstad</t>
  </si>
  <si>
    <t>owensjasmine@yahoo.com</t>
  </si>
  <si>
    <t>Maynardtown</t>
  </si>
  <si>
    <t>cynthia58@ferguson.info</t>
  </si>
  <si>
    <t>West Robin</t>
  </si>
  <si>
    <t>riverasarah@yahoo.com</t>
  </si>
  <si>
    <t>West Kristenside</t>
  </si>
  <si>
    <t>blakejackson@gmail.com</t>
  </si>
  <si>
    <t>East Heidi</t>
  </si>
  <si>
    <t>joshuapowers@sawyer-reed.net</t>
  </si>
  <si>
    <t>Jeffreyshire</t>
  </si>
  <si>
    <t>christopher75@pope.com</t>
  </si>
  <si>
    <t>New Toni</t>
  </si>
  <si>
    <t>markcastillo@yahoo.com</t>
  </si>
  <si>
    <t>Franklinhaven</t>
  </si>
  <si>
    <t>lisa78@yahoo.com</t>
  </si>
  <si>
    <t>West Katrinastad</t>
  </si>
  <si>
    <t>gbeasley@hotmail.com</t>
  </si>
  <si>
    <t>Marcustown</t>
  </si>
  <si>
    <t>diana66@hart.com</t>
  </si>
  <si>
    <t>East Amyhaven</t>
  </si>
  <si>
    <t>kelseyowens@yahoo.com</t>
  </si>
  <si>
    <t>Markborough</t>
  </si>
  <si>
    <t>sjackson@cook-patel.com</t>
  </si>
  <si>
    <t>Carolside</t>
  </si>
  <si>
    <t>hcooper@gmail.com</t>
  </si>
  <si>
    <t>South Joseph</t>
  </si>
  <si>
    <t>susanmendoza@gmail.com</t>
  </si>
  <si>
    <t>Turnerfurt</t>
  </si>
  <si>
    <t>xcastro@hotmail.com</t>
  </si>
  <si>
    <t>Port Phyllisfurt</t>
  </si>
  <si>
    <t>barronlisa@stewart-nelson.com</t>
  </si>
  <si>
    <t>Lake Jeffrey</t>
  </si>
  <si>
    <t>nicholejohnson@yahoo.com</t>
  </si>
  <si>
    <t>South Mallory</t>
  </si>
  <si>
    <t>alexandraphillips@hotmail.com</t>
  </si>
  <si>
    <t>North Alexis</t>
  </si>
  <si>
    <t>ryanmelissa@hotmail.com</t>
  </si>
  <si>
    <t>Coreychester</t>
  </si>
  <si>
    <t>robertsanford@white-nichols.net</t>
  </si>
  <si>
    <t>South Jacob</t>
  </si>
  <si>
    <t>williamsonjanice@hotmail.com</t>
  </si>
  <si>
    <t>Hernandezland</t>
  </si>
  <si>
    <t>andrew22@freeman-weeks.com</t>
  </si>
  <si>
    <t>Port Sharonville</t>
  </si>
  <si>
    <t>flewis@kim-molina.com</t>
  </si>
  <si>
    <t>Franklinberg</t>
  </si>
  <si>
    <t>anthony76@price.com</t>
  </si>
  <si>
    <t>Kristinton</t>
  </si>
  <si>
    <t>buckdebra@hotmail.com</t>
  </si>
  <si>
    <t>West Danielle</t>
  </si>
  <si>
    <t>scottkelsey@watkins.com</t>
  </si>
  <si>
    <t>Lake Ann</t>
  </si>
  <si>
    <t>michael83@hotmail.com</t>
  </si>
  <si>
    <t>Jamestown</t>
  </si>
  <si>
    <t>scottcolin@gmail.com</t>
  </si>
  <si>
    <t>Michaelstad</t>
  </si>
  <si>
    <t>kellycoleman@coleman.com</t>
  </si>
  <si>
    <t>Port Melissaview</t>
  </si>
  <si>
    <t>allenamanda@gmail.com</t>
  </si>
  <si>
    <t>Lindsayton</t>
  </si>
  <si>
    <t>fitzpatrickjon@yahoo.com</t>
  </si>
  <si>
    <t>Elizabethborough</t>
  </si>
  <si>
    <t>alison93@anderson.com</t>
  </si>
  <si>
    <t>East Alexandraville</t>
  </si>
  <si>
    <t>asandoval@lewis.com</t>
  </si>
  <si>
    <t>Ryanhaven</t>
  </si>
  <si>
    <t>ryangraham@yahoo.com</t>
  </si>
  <si>
    <t>Randychester</t>
  </si>
  <si>
    <t>jermainegreer@hotmail.com</t>
  </si>
  <si>
    <t>Lake Lisaborough</t>
  </si>
  <si>
    <t>smalldenise@barrera.net</t>
  </si>
  <si>
    <t>East Michaelborough</t>
  </si>
  <si>
    <t>xgonzalez@scott.info</t>
  </si>
  <si>
    <t>Ronaldchester</t>
  </si>
  <si>
    <t>andrea51@gutierrez-kent.com</t>
  </si>
  <si>
    <t>Danatown</t>
  </si>
  <si>
    <t>travisweber@arnold-leblanc.biz</t>
  </si>
  <si>
    <t>New Brenda</t>
  </si>
  <si>
    <t>qwilson@powell.net</t>
  </si>
  <si>
    <t>Amyburgh</t>
  </si>
  <si>
    <t>larryfowler@gmail.com</t>
  </si>
  <si>
    <t>West Karen</t>
  </si>
  <si>
    <t>timothynewman@hotmail.com</t>
  </si>
  <si>
    <t>Hardinville</t>
  </si>
  <si>
    <t>jaime65@yahoo.com</t>
  </si>
  <si>
    <t>Chambersville</t>
  </si>
  <si>
    <t>catherineclark@hotmail.com</t>
  </si>
  <si>
    <t>West Daniel</t>
  </si>
  <si>
    <t>april55@pearson-gomez.org</t>
  </si>
  <si>
    <t>New Robertland</t>
  </si>
  <si>
    <t>hilllatoya@hotmail.com</t>
  </si>
  <si>
    <t>South Catherineland</t>
  </si>
  <si>
    <t>anasmith@gray.com</t>
  </si>
  <si>
    <t>Jessicatown</t>
  </si>
  <si>
    <t>mjoyce@yahoo.com</t>
  </si>
  <si>
    <t>South Helen</t>
  </si>
  <si>
    <t>cweber@kaufman.com</t>
  </si>
  <si>
    <t>Gibbsville</t>
  </si>
  <si>
    <t>chad81@hotmail.com</t>
  </si>
  <si>
    <t>Jessicabury</t>
  </si>
  <si>
    <t>tracybrown@osborne.com</t>
  </si>
  <si>
    <t>Smithshire</t>
  </si>
  <si>
    <t>butlersusan@hubbard.org</t>
  </si>
  <si>
    <t>Pattersonchester</t>
  </si>
  <si>
    <t>juliachase@hotmail.com</t>
  </si>
  <si>
    <t>Port Colleen</t>
  </si>
  <si>
    <t>nturner@york-allison.com</t>
  </si>
  <si>
    <t>Shelleyberg</t>
  </si>
  <si>
    <t>cooperdiane@johnston.com</t>
  </si>
  <si>
    <t>Craigfurt</t>
  </si>
  <si>
    <t>justinstafford@lee.biz</t>
  </si>
  <si>
    <t>Port Ashleymouth</t>
  </si>
  <si>
    <t>derek48@yahoo.com</t>
  </si>
  <si>
    <t>Stevenberg</t>
  </si>
  <si>
    <t>matthewhayes@gmail.com</t>
  </si>
  <si>
    <t>Port Gregory</t>
  </si>
  <si>
    <t>huffmanpamela@hotmail.com</t>
  </si>
  <si>
    <t>Olsonville</t>
  </si>
  <si>
    <t>steven33@williams.com</t>
  </si>
  <si>
    <t>Mariaberg</t>
  </si>
  <si>
    <t>mcmahonsteven@hotmail.com</t>
  </si>
  <si>
    <t>East Kennethstad</t>
  </si>
  <si>
    <t>annabrown@small.com</t>
  </si>
  <si>
    <t>Davidmouth</t>
  </si>
  <si>
    <t>ashley00@reyes.info</t>
  </si>
  <si>
    <t>Thomasland</t>
  </si>
  <si>
    <t>danny76@yahoo.com</t>
  </si>
  <si>
    <t>North Stephanie</t>
  </si>
  <si>
    <t>johnhughes@yahoo.com</t>
  </si>
  <si>
    <t>perrytara@baker-nelson.com</t>
  </si>
  <si>
    <t>Port Nicolebury</t>
  </si>
  <si>
    <t>howardshelton@roth.com</t>
  </si>
  <si>
    <t>Ralphfort</t>
  </si>
  <si>
    <t>brittanydowns@holden.info</t>
  </si>
  <si>
    <t>Halechester</t>
  </si>
  <si>
    <t>marilynaguirre@gmail.com</t>
  </si>
  <si>
    <t>Josephhaven</t>
  </si>
  <si>
    <t>aaron61@yahoo.com</t>
  </si>
  <si>
    <t>Tranport</t>
  </si>
  <si>
    <t>zhahn@miller-riley.biz</t>
  </si>
  <si>
    <t>Owensshire</t>
  </si>
  <si>
    <t>holly86@sutton.com</t>
  </si>
  <si>
    <t>South Diane</t>
  </si>
  <si>
    <t>slane@lambert.com</t>
  </si>
  <si>
    <t>Port Thomasstad</t>
  </si>
  <si>
    <t>lmorales@stephens.com</t>
  </si>
  <si>
    <t>East Zachary</t>
  </si>
  <si>
    <t>aliciadouglas@carter.com</t>
  </si>
  <si>
    <t>Caitlinport</t>
  </si>
  <si>
    <t>christian23@levine-johnson.com</t>
  </si>
  <si>
    <t>Boothbury</t>
  </si>
  <si>
    <t>lopezjoseph@yahoo.com</t>
  </si>
  <si>
    <t>Jaimeberg</t>
  </si>
  <si>
    <t>david93@nelson-ware.com</t>
  </si>
  <si>
    <t>Debbieview</t>
  </si>
  <si>
    <t>dannygrant@hotmail.com</t>
  </si>
  <si>
    <t>Maldonadoburgh</t>
  </si>
  <si>
    <t>moralesdiane@russell.com</t>
  </si>
  <si>
    <t>Port Davidmouth</t>
  </si>
  <si>
    <t>fhodge@yahoo.com</t>
  </si>
  <si>
    <t>Woodsborough</t>
  </si>
  <si>
    <t>bmurphy@yahoo.com</t>
  </si>
  <si>
    <t>Joannaburgh</t>
  </si>
  <si>
    <t>schmidtmelissa@gmail.com</t>
  </si>
  <si>
    <t>East Katrinamouth</t>
  </si>
  <si>
    <t>lisa83@wright-cardenas.com</t>
  </si>
  <si>
    <t>Sandratown</t>
  </si>
  <si>
    <t>hensleybrittany@hotmail.com</t>
  </si>
  <si>
    <t>Shieldsmouth</t>
  </si>
  <si>
    <t>victoriasutton@yahoo.com</t>
  </si>
  <si>
    <t>Port Thomas</t>
  </si>
  <si>
    <t>pennynelson@gmail.com</t>
  </si>
  <si>
    <t>North Victorville</t>
  </si>
  <si>
    <t>delgadolisa@meyer-price.org</t>
  </si>
  <si>
    <t>North Timothy</t>
  </si>
  <si>
    <t>agray@gmail.com</t>
  </si>
  <si>
    <t>Michelleville</t>
  </si>
  <si>
    <t>richardrogers@hotmail.com</t>
  </si>
  <si>
    <t>Lake Rebekahville</t>
  </si>
  <si>
    <t>mariakrueger@gmail.com</t>
  </si>
  <si>
    <t>Wrighthaven</t>
  </si>
  <si>
    <t>colleen17@richardson.com</t>
  </si>
  <si>
    <t>West Chadmouth</t>
  </si>
  <si>
    <t>gcarter@larson.com</t>
  </si>
  <si>
    <t>North Shannon</t>
  </si>
  <si>
    <t>simmonsandre@hotmail.com</t>
  </si>
  <si>
    <t>Port Jamie</t>
  </si>
  <si>
    <t>jacob08@barrett.info</t>
  </si>
  <si>
    <t>Perrymouth</t>
  </si>
  <si>
    <t>andrewfuller@hotmail.com</t>
  </si>
  <si>
    <t>East Travisborough</t>
  </si>
  <si>
    <t>robert13@yahoo.com</t>
  </si>
  <si>
    <t>East Davidfort</t>
  </si>
  <si>
    <t>marcusrivera@brandt.com</t>
  </si>
  <si>
    <t>Port Joshua</t>
  </si>
  <si>
    <t>thomasjoyce@yahoo.com</t>
  </si>
  <si>
    <t>Lake Dianeport</t>
  </si>
  <si>
    <t>carrillobill@hotmail.com</t>
  </si>
  <si>
    <t>Lopeztown</t>
  </si>
  <si>
    <t>lisa43@yahoo.com</t>
  </si>
  <si>
    <t>Ericton</t>
  </si>
  <si>
    <t>chanjames@hotmail.com</t>
  </si>
  <si>
    <t>Adamsstad</t>
  </si>
  <si>
    <t>mbrown@yahoo.com</t>
  </si>
  <si>
    <t>Robertborough</t>
  </si>
  <si>
    <t>mariahwaller@gmail.com</t>
  </si>
  <si>
    <t>Lewisfort</t>
  </si>
  <si>
    <t>kspence@austin.net</t>
  </si>
  <si>
    <t>Francisport</t>
  </si>
  <si>
    <t>jonesbrandon@gmail.com</t>
  </si>
  <si>
    <t>Sawyerberg</t>
  </si>
  <si>
    <t>liclayton@johnson.com</t>
  </si>
  <si>
    <t>Richardston</t>
  </si>
  <si>
    <t>cbrown@moore-monroe.net</t>
  </si>
  <si>
    <t>East Stacey</t>
  </si>
  <si>
    <t>ochen@yahoo.com</t>
  </si>
  <si>
    <t>Destinyborough</t>
  </si>
  <si>
    <t>andrewwalsh@gmail.com</t>
  </si>
  <si>
    <t>New Darin</t>
  </si>
  <si>
    <t>mark30@hotmail.com</t>
  </si>
  <si>
    <t>Melendezfort</t>
  </si>
  <si>
    <t>brownlaurie@gmail.com</t>
  </si>
  <si>
    <t>Munozstad</t>
  </si>
  <si>
    <t>lauradominguez@perkins.com</t>
  </si>
  <si>
    <t>East Adam</t>
  </si>
  <si>
    <t>plewis@yahoo.com</t>
  </si>
  <si>
    <t>South Lanceborough</t>
  </si>
  <si>
    <t>shawn18@gmail.com</t>
  </si>
  <si>
    <t>Port Christopherport</t>
  </si>
  <si>
    <t>jacksonkatie@lambert-reid.org</t>
  </si>
  <si>
    <t>East Annashire</t>
  </si>
  <si>
    <t>penasara@yahoo.com</t>
  </si>
  <si>
    <t>North Sharonmouth</t>
  </si>
  <si>
    <t>arodriguez@smith-curry.com</t>
  </si>
  <si>
    <t>Tracyville</t>
  </si>
  <si>
    <t>ikelly@gmail.com</t>
  </si>
  <si>
    <t>North Tiffanyside</t>
  </si>
  <si>
    <t>sphillips@yahoo.com</t>
  </si>
  <si>
    <t>Stevenview</t>
  </si>
  <si>
    <t>marshallvirginia@gmail.com</t>
  </si>
  <si>
    <t>Alexanderfort</t>
  </si>
  <si>
    <t>bennettkevin@blake.com</t>
  </si>
  <si>
    <t>Jimenezton</t>
  </si>
  <si>
    <t>alexa24@cooper.com</t>
  </si>
  <si>
    <t>North Rickhaven</t>
  </si>
  <si>
    <t>richard61@hotmail.com</t>
  </si>
  <si>
    <t>Lake Davidbury</t>
  </si>
  <si>
    <t>bethany41@gmail.com</t>
  </si>
  <si>
    <t>Port Randybury</t>
  </si>
  <si>
    <t>shelley54@lyons-perkins.com</t>
  </si>
  <si>
    <t>Port Danport</t>
  </si>
  <si>
    <t>janet85@yahoo.com</t>
  </si>
  <si>
    <t>Lake Daniel</t>
  </si>
  <si>
    <t>owilliams@hotmail.com</t>
  </si>
  <si>
    <t>Port Jonhaven</t>
  </si>
  <si>
    <t>yolson@gmail.com</t>
  </si>
  <si>
    <t>North Jessicaside</t>
  </si>
  <si>
    <t>joseph89@yahoo.com</t>
  </si>
  <si>
    <t>Lisahaven</t>
  </si>
  <si>
    <t>rberry@hotmail.com</t>
  </si>
  <si>
    <t>Larryberg</t>
  </si>
  <si>
    <t>jennifer46@gmail.com</t>
  </si>
  <si>
    <t>Lake Julie</t>
  </si>
  <si>
    <t>ocervantes@gmail.com</t>
  </si>
  <si>
    <t>Lake Leonard</t>
  </si>
  <si>
    <t>johnsonstephanie@hotmail.com</t>
  </si>
  <si>
    <t>Longburgh</t>
  </si>
  <si>
    <t>zmitchell@swanson.com</t>
  </si>
  <si>
    <t>Karenmouth</t>
  </si>
  <si>
    <t>uwalker@smith.com</t>
  </si>
  <si>
    <t>South Charles</t>
  </si>
  <si>
    <t>fowlerkathleen@sanchez.net</t>
  </si>
  <si>
    <t>Stephanieborough</t>
  </si>
  <si>
    <t>meghan67@gmail.com</t>
  </si>
  <si>
    <t>Port Josephhaven</t>
  </si>
  <si>
    <t>craig46@taylor.info</t>
  </si>
  <si>
    <t>North Ruth</t>
  </si>
  <si>
    <t>davidfoster@gmail.com</t>
  </si>
  <si>
    <t>Lake Judyton</t>
  </si>
  <si>
    <t>yvonne02@gmail.com</t>
  </si>
  <si>
    <t>North Peggy</t>
  </si>
  <si>
    <t>thomas97@gmail.com</t>
  </si>
  <si>
    <t>West Samanthachester</t>
  </si>
  <si>
    <t>yanglorraine@yahoo.com</t>
  </si>
  <si>
    <t>East Pamela</t>
  </si>
  <si>
    <t>chad26@hurley.com</t>
  </si>
  <si>
    <t>Lunahaven</t>
  </si>
  <si>
    <t>Sales (SUMIFS)</t>
  </si>
  <si>
    <t>Sales (SUMIF)</t>
  </si>
  <si>
    <t>Jan 2025</t>
  </si>
  <si>
    <t>Feb 2025</t>
  </si>
  <si>
    <t>Mar 2025</t>
  </si>
  <si>
    <t>Apr 2025</t>
  </si>
  <si>
    <t>May 2025</t>
  </si>
  <si>
    <t>Jun 2025</t>
  </si>
  <si>
    <t>Jul 2025</t>
  </si>
  <si>
    <t>Serial</t>
  </si>
  <si>
    <t>HRID</t>
  </si>
  <si>
    <t>Names</t>
  </si>
  <si>
    <t>Gender</t>
  </si>
  <si>
    <t>Destination</t>
  </si>
  <si>
    <t>Use a formula to count the number of people in the list</t>
  </si>
  <si>
    <t>Mohamed</t>
  </si>
  <si>
    <t>Male</t>
  </si>
  <si>
    <t>Christine</t>
  </si>
  <si>
    <t>Female</t>
  </si>
  <si>
    <t>Shimaa</t>
  </si>
  <si>
    <t>Chris</t>
  </si>
  <si>
    <t xml:space="preserve">Number of people </t>
  </si>
  <si>
    <t>Nermine</t>
  </si>
  <si>
    <t>Numbers</t>
  </si>
  <si>
    <t>Mina</t>
  </si>
  <si>
    <t>Lebanon</t>
  </si>
  <si>
    <t>Maram</t>
  </si>
  <si>
    <t>Sudan</t>
  </si>
  <si>
    <t>Mayar</t>
  </si>
  <si>
    <t>Hossam</t>
  </si>
  <si>
    <t>Heba</t>
  </si>
  <si>
    <t>6th of October</t>
  </si>
  <si>
    <t>Tamer</t>
  </si>
  <si>
    <t>Hany</t>
  </si>
  <si>
    <t xml:space="preserve">Al Batal Ahmad </t>
  </si>
  <si>
    <t>Rasha</t>
  </si>
  <si>
    <t>Lama</t>
  </si>
  <si>
    <t>Marihan</t>
  </si>
  <si>
    <t>Fouad</t>
  </si>
  <si>
    <t>Philip</t>
  </si>
  <si>
    <t>Agouza</t>
  </si>
  <si>
    <t>Mona</t>
  </si>
  <si>
    <t>Hassan</t>
  </si>
  <si>
    <t xml:space="preserve">Use a formula to count the number of blank Cells </t>
  </si>
  <si>
    <t>Number of Blank Cells</t>
  </si>
  <si>
    <t>Count the number of males and females</t>
  </si>
  <si>
    <t>Aguza</t>
  </si>
  <si>
    <t>6th of October Giza</t>
  </si>
  <si>
    <t>Count all Student</t>
  </si>
  <si>
    <t>Tahrir Cairo</t>
  </si>
  <si>
    <t>Sphinx Giza</t>
  </si>
  <si>
    <t>Lebanon Giza</t>
  </si>
  <si>
    <t>Sudan Giza</t>
  </si>
  <si>
    <t>Count students living in Giza</t>
  </si>
  <si>
    <t>Count students living in Cairo</t>
  </si>
  <si>
    <t>Al Batal Ahmad  Giza</t>
  </si>
  <si>
    <t>Agouza Giza</t>
  </si>
  <si>
    <t xml:space="preserve">Calculate the number of </t>
  </si>
  <si>
    <t>How many Documents with unknown status (empty cells)</t>
  </si>
  <si>
    <t>Question 8</t>
  </si>
  <si>
    <t>Number of agents in Movefix only</t>
  </si>
  <si>
    <t>Question 9</t>
  </si>
  <si>
    <t>Females Only</t>
  </si>
  <si>
    <t>Question 10</t>
  </si>
  <si>
    <t>Males who did not provide the military certificate</t>
  </si>
  <si>
    <t>Question 11</t>
  </si>
  <si>
    <t xml:space="preserve">Agents with QA% score between 70%, and 90% </t>
  </si>
  <si>
    <t>Question 12</t>
  </si>
  <si>
    <t>Including 70% and 90%</t>
  </si>
  <si>
    <t>Document Available</t>
  </si>
  <si>
    <t>Name</t>
  </si>
  <si>
    <t>Account</t>
  </si>
  <si>
    <t>Phone Number</t>
  </si>
  <si>
    <t>QA%</t>
  </si>
  <si>
    <t>Abs</t>
  </si>
  <si>
    <t>Birth Certification</t>
  </si>
  <si>
    <t>Criminal Record</t>
  </si>
  <si>
    <t>Military Certificate</t>
  </si>
  <si>
    <t>Williams Dupont</t>
  </si>
  <si>
    <t>Movefix</t>
  </si>
  <si>
    <t>Yes</t>
  </si>
  <si>
    <t>No</t>
  </si>
  <si>
    <t>Deanne Chaidez</t>
  </si>
  <si>
    <t>Sail Quodax</t>
  </si>
  <si>
    <t>NA</t>
  </si>
  <si>
    <t>Khadijah Mateer</t>
  </si>
  <si>
    <t>Lexsoft</t>
  </si>
  <si>
    <t>Chae Castelli</t>
  </si>
  <si>
    <t>Anron</t>
  </si>
  <si>
    <t>Fredric Alden</t>
  </si>
  <si>
    <t>Ranktough</t>
  </si>
  <si>
    <t>Keiko Sweitzer</t>
  </si>
  <si>
    <t>Lupe Huntley</t>
  </si>
  <si>
    <t>Annetta Mccotter</t>
  </si>
  <si>
    <t>Violet Krejci</t>
  </si>
  <si>
    <t>Marcelle Seip</t>
  </si>
  <si>
    <t>Nova Flanary</t>
  </si>
  <si>
    <t>Fred Chism</t>
  </si>
  <si>
    <t>Tora Brister</t>
  </si>
  <si>
    <t>Lincoln Gassett</t>
  </si>
  <si>
    <t>Dee Peppers</t>
  </si>
  <si>
    <t>Daryl Hedley</t>
  </si>
  <si>
    <t>Tiny Jarrard</t>
  </si>
  <si>
    <t>Teena Elliff</t>
  </si>
  <si>
    <t>Starla Walcott</t>
  </si>
  <si>
    <t>Edmond Taliaferro</t>
  </si>
  <si>
    <t>Ismael Borman</t>
  </si>
  <si>
    <t>Clifton Brouse</t>
  </si>
  <si>
    <t>Lady Mickey</t>
  </si>
  <si>
    <t>Ethelyn Marrone</t>
  </si>
  <si>
    <t>Benita Maciel</t>
  </si>
  <si>
    <t>Consuelo Gaccione</t>
  </si>
  <si>
    <t>Marty Corry</t>
  </si>
  <si>
    <t>Reginia Estrada</t>
  </si>
  <si>
    <t>Kim Okelly</t>
  </si>
  <si>
    <t>Morton Zoll</t>
  </si>
  <si>
    <t>Jazmin Hudgens</t>
  </si>
  <si>
    <t>Elliott Dorfman</t>
  </si>
  <si>
    <t>Gisele Calmes</t>
  </si>
  <si>
    <t>Jessia Hocking</t>
  </si>
  <si>
    <t>Sierra Neeson</t>
  </si>
  <si>
    <t>Kylie Walk</t>
  </si>
  <si>
    <t>Robbin Foran</t>
  </si>
  <si>
    <t>Ernie Overholt</t>
  </si>
  <si>
    <t>Alec Kinkade</t>
  </si>
  <si>
    <t>Percy Zheng</t>
  </si>
  <si>
    <t>Francina Rosser</t>
  </si>
  <si>
    <t>Chester Bittle</t>
  </si>
  <si>
    <t>Essie Holscher</t>
  </si>
  <si>
    <t>Hiram Ronk</t>
  </si>
  <si>
    <t>Sheldon Perin</t>
  </si>
  <si>
    <t>Hazel Pottinger</t>
  </si>
  <si>
    <t>Ermelinda Enders</t>
  </si>
  <si>
    <t>Ilda Quinley</t>
  </si>
  <si>
    <t>Darci Cairns</t>
  </si>
  <si>
    <t>Larita Gaudin</t>
  </si>
  <si>
    <t>Student Name</t>
  </si>
  <si>
    <t>Address</t>
  </si>
  <si>
    <t>Score</t>
  </si>
  <si>
    <t>Ayman Magdy</t>
  </si>
  <si>
    <t>Maadi, Cairo</t>
  </si>
  <si>
    <t>Count students living in Maadi</t>
  </si>
  <si>
    <t>Ahmed Hassan</t>
  </si>
  <si>
    <t>Nasr City, Cairo</t>
  </si>
  <si>
    <t>Rania Adel</t>
  </si>
  <si>
    <t>Alexandria Downtown</t>
  </si>
  <si>
    <t>Mohamed Ali</t>
  </si>
  <si>
    <t>Count students whose name contains Ayman</t>
  </si>
  <si>
    <t>Sara Ayman</t>
  </si>
  <si>
    <t>Youssef Ibrahim</t>
  </si>
  <si>
    <t>Mansoura, Dakahlia</t>
  </si>
  <si>
    <t>Mariam Mostafa</t>
  </si>
  <si>
    <t>Count students whose address contains Cairo</t>
  </si>
  <si>
    <t>Hossam Tarek</t>
  </si>
  <si>
    <t>Helwan, Cairo</t>
  </si>
  <si>
    <t>Mona Ahmed</t>
  </si>
  <si>
    <t>Farah Mohamed</t>
  </si>
  <si>
    <t>Alexandria Corniche</t>
  </si>
  <si>
    <t>Count students whose name starts with “M”</t>
  </si>
  <si>
    <t>Islam Magdy</t>
  </si>
  <si>
    <t>Laila Hassan</t>
  </si>
  <si>
    <t>Karim Adel</t>
  </si>
  <si>
    <t>Hany Samir</t>
  </si>
  <si>
    <t>Alexandria Smouha</t>
  </si>
  <si>
    <t>Rawan Ayman</t>
  </si>
  <si>
    <t>Salma Nabil</t>
  </si>
  <si>
    <t>Tamer Fathi</t>
  </si>
  <si>
    <t>Mariam Hassan</t>
  </si>
  <si>
    <t>Omar Khaled</t>
  </si>
  <si>
    <t>Ayman Adel</t>
  </si>
  <si>
    <t>Bonus in EGP</t>
  </si>
  <si>
    <t>Overnight allowance</t>
  </si>
  <si>
    <t>Answer</t>
  </si>
  <si>
    <t>Customer Name</t>
  </si>
  <si>
    <t>Andres Holloway MD</t>
  </si>
  <si>
    <t>Nathan Garcia</t>
  </si>
  <si>
    <t>Joshua Vincent</t>
  </si>
  <si>
    <t>Steven Foster</t>
  </si>
  <si>
    <t>Lauren Rose</t>
  </si>
  <si>
    <t>Kelly Greene</t>
  </si>
  <si>
    <t>Dawn Munoz</t>
  </si>
  <si>
    <t>Eric Hopkins</t>
  </si>
  <si>
    <t>Ana Davis</t>
  </si>
  <si>
    <t>Rachael Wheeler</t>
  </si>
  <si>
    <t>Michael Williams</t>
  </si>
  <si>
    <t>Breanna Contreras</t>
  </si>
  <si>
    <t>Katherine Turner</t>
  </si>
  <si>
    <t>Kayla Perry</t>
  </si>
  <si>
    <t>John Clarke</t>
  </si>
  <si>
    <t>Taylor Smith</t>
  </si>
  <si>
    <t>Richard Baldwin</t>
  </si>
  <si>
    <t>Ronald Suarez</t>
  </si>
  <si>
    <t>Brian Holmes</t>
  </si>
  <si>
    <t>April Kim</t>
  </si>
  <si>
    <t>Joel Mata</t>
  </si>
  <si>
    <t>Tara Brooks</t>
  </si>
  <si>
    <t>David Parsons</t>
  </si>
  <si>
    <t>Hayden Davis</t>
  </si>
  <si>
    <t>Jose Le</t>
  </si>
  <si>
    <t>Katherine Owens DVM</t>
  </si>
  <si>
    <t>Chad Baldwin</t>
  </si>
  <si>
    <t>Wayne Cooper</t>
  </si>
  <si>
    <t>Annette Liu</t>
  </si>
  <si>
    <t>Danielle Warner</t>
  </si>
  <si>
    <t>Michael Wright</t>
  </si>
  <si>
    <t>Curtis Chase</t>
  </si>
  <si>
    <t>Christopher Campbell</t>
  </si>
  <si>
    <t>James Taylor</t>
  </si>
  <si>
    <t>Alexis Jones</t>
  </si>
  <si>
    <t>Brian White</t>
  </si>
  <si>
    <t>Jennifer Barron</t>
  </si>
  <si>
    <t>Dominique Huynh</t>
  </si>
  <si>
    <t>Kirk Miranda</t>
  </si>
  <si>
    <t>David Hamilton</t>
  </si>
  <si>
    <t>Andrew Harris</t>
  </si>
  <si>
    <t>Catherine Carter</t>
  </si>
  <si>
    <t>Jennifer Rhodes</t>
  </si>
  <si>
    <t>Lindsey Thomas</t>
  </si>
  <si>
    <t>James Baker</t>
  </si>
  <si>
    <t>Susan Vargas</t>
  </si>
  <si>
    <t>Scott Sanders</t>
  </si>
  <si>
    <t>James Avery</t>
  </si>
  <si>
    <t>Jennifer Wilson</t>
  </si>
  <si>
    <t>Holly Ingram</t>
  </si>
  <si>
    <t>Gregory Prince</t>
  </si>
  <si>
    <t>Mark White</t>
  </si>
  <si>
    <t>William Torres</t>
  </si>
  <si>
    <t>Nathan Ross</t>
  </si>
  <si>
    <t>Christopher King</t>
  </si>
  <si>
    <t>Aaron Calderon</t>
  </si>
  <si>
    <t>Christopher Taylor</t>
  </si>
  <si>
    <t>Grant Torres</t>
  </si>
  <si>
    <t>Stephen Rodriguez</t>
  </si>
  <si>
    <t>Rebecca Lee</t>
  </si>
  <si>
    <t>Anna Anderson</t>
  </si>
  <si>
    <t>Deborah Wiggins</t>
  </si>
  <si>
    <t>Carrie Bishop</t>
  </si>
  <si>
    <t>Natasha Nelson</t>
  </si>
  <si>
    <t>Bryan Cantu II</t>
  </si>
  <si>
    <t>Tyler Gamble</t>
  </si>
  <si>
    <t>Christopher Castillo</t>
  </si>
  <si>
    <t>David Reed</t>
  </si>
  <si>
    <t>Jacqueline Johnson</t>
  </si>
  <si>
    <t>Darius Reynolds</t>
  </si>
  <si>
    <t>Deborah Cervantes</t>
  </si>
  <si>
    <t>Joseph Hall</t>
  </si>
  <si>
    <t>Alex Sanford</t>
  </si>
  <si>
    <t>Tyler Moore</t>
  </si>
  <si>
    <t>Pamela Diaz</t>
  </si>
  <si>
    <t>Rebecca Davidson</t>
  </si>
  <si>
    <t>Adam Vazquez PhD</t>
  </si>
  <si>
    <t>Kathryn Cross</t>
  </si>
  <si>
    <t>Laura Sanders</t>
  </si>
  <si>
    <t>Amanda Todd</t>
  </si>
  <si>
    <t>Karen Walker</t>
  </si>
  <si>
    <t>Andrew Conner</t>
  </si>
  <si>
    <t>Marie Hicks</t>
  </si>
  <si>
    <t>Erik Hughes</t>
  </si>
  <si>
    <t>Julie Mayo</t>
  </si>
  <si>
    <t>Richard Perry</t>
  </si>
  <si>
    <t>Michelle Thomas</t>
  </si>
  <si>
    <t>Michael Kelly II</t>
  </si>
  <si>
    <t>Kayla Cox DDS</t>
  </si>
  <si>
    <t>David Webb</t>
  </si>
  <si>
    <t>Alexandria Chavez</t>
  </si>
  <si>
    <t>Anthony Mendez</t>
  </si>
  <si>
    <t>Nathan Reed</t>
  </si>
  <si>
    <t>Jason Harris</t>
  </si>
  <si>
    <t>Grace Livingston</t>
  </si>
  <si>
    <t>Mark Price</t>
  </si>
  <si>
    <t>Anna Harper</t>
  </si>
  <si>
    <t>Amy Ward</t>
  </si>
  <si>
    <t>Nicholas Robinson</t>
  </si>
  <si>
    <t>Carl Adams</t>
  </si>
  <si>
    <t>Rachel Shelton</t>
  </si>
  <si>
    <t>Lisa Leon</t>
  </si>
  <si>
    <t>Monica Williams</t>
  </si>
  <si>
    <t>Mr. Thomas Jackson</t>
  </si>
  <si>
    <t>Paul Garcia</t>
  </si>
  <si>
    <t>Ian Patterson</t>
  </si>
  <si>
    <t>Joshua Gardner</t>
  </si>
  <si>
    <t>Michael Malone</t>
  </si>
  <si>
    <t>Tiffany Lewis</t>
  </si>
  <si>
    <t>Tiffany Holt</t>
  </si>
  <si>
    <t>Kelly Wolfe</t>
  </si>
  <si>
    <t>Robert Mathews</t>
  </si>
  <si>
    <t>Linda Harris</t>
  </si>
  <si>
    <t>Benjamin Taylor</t>
  </si>
  <si>
    <t>John Brown</t>
  </si>
  <si>
    <t>Michael Jones</t>
  </si>
  <si>
    <t>Kimberly Mitchell</t>
  </si>
  <si>
    <t>Andrea Ortega</t>
  </si>
  <si>
    <t>Darrell Clark</t>
  </si>
  <si>
    <t>Billy Jefferson</t>
  </si>
  <si>
    <t>Tonya Cook</t>
  </si>
  <si>
    <t>Timothy Grant</t>
  </si>
  <si>
    <t>Rachael Miller</t>
  </si>
  <si>
    <t>Christina Smith</t>
  </si>
  <si>
    <t>Joshua Hart</t>
  </si>
  <si>
    <t>Ashley Miller</t>
  </si>
  <si>
    <t>Abigail Peck</t>
  </si>
  <si>
    <t>Denise Shaw</t>
  </si>
  <si>
    <t>Jonathan Salazar</t>
  </si>
  <si>
    <t>Grant Bailey</t>
  </si>
  <si>
    <t>Nancy Navarro</t>
  </si>
  <si>
    <t>Kelly Smith</t>
  </si>
  <si>
    <t>Ellen Garrett</t>
  </si>
  <si>
    <t>Allison Baker</t>
  </si>
  <si>
    <t>Kim Campbell</t>
  </si>
  <si>
    <t>Lisa Blackwell</t>
  </si>
  <si>
    <t>Michael Navarro</t>
  </si>
  <si>
    <t>Dalton Caldwell</t>
  </si>
  <si>
    <t>Leah Reid</t>
  </si>
  <si>
    <t>Connie Flores</t>
  </si>
  <si>
    <t>Jason Hernandez</t>
  </si>
  <si>
    <t>Samuel Chavez</t>
  </si>
  <si>
    <t>Marie Abbott</t>
  </si>
  <si>
    <t>Susan Copeland</t>
  </si>
  <si>
    <t>Ruth Vasquez</t>
  </si>
  <si>
    <t>Kayla Anderson</t>
  </si>
  <si>
    <t>Sara Stephens</t>
  </si>
  <si>
    <t>Tyler Tate</t>
  </si>
  <si>
    <t>Angela Blake</t>
  </si>
  <si>
    <t>Kimberly Lewis</t>
  </si>
  <si>
    <t>Angela Barton</t>
  </si>
  <si>
    <t>Nancy Martin</t>
  </si>
  <si>
    <t>James Hall</t>
  </si>
  <si>
    <t>Carolyn Schultz</t>
  </si>
  <si>
    <t>Dr. Craig White</t>
  </si>
  <si>
    <t>Robert Gonzalez</t>
  </si>
  <si>
    <t>Michael Patel</t>
  </si>
  <si>
    <t>Stephen Drake</t>
  </si>
  <si>
    <t>Melissa Finley</t>
  </si>
  <si>
    <t>Matthew Cantu</t>
  </si>
  <si>
    <t>Carl Lewis</t>
  </si>
  <si>
    <t>Brandon Duran</t>
  </si>
  <si>
    <t>William Cardenas</t>
  </si>
  <si>
    <t>John Riddle</t>
  </si>
  <si>
    <t>Erica Gonzales MD</t>
  </si>
  <si>
    <t>Shirley Chavez</t>
  </si>
  <si>
    <t>Michelle Howard</t>
  </si>
  <si>
    <t>Jonathan West</t>
  </si>
  <si>
    <t>Tiffany Torres</t>
  </si>
  <si>
    <t>Faith Spencer</t>
  </si>
  <si>
    <t>Tyler Garza</t>
  </si>
  <si>
    <t>Thomas Robbins</t>
  </si>
  <si>
    <t>Rebecca Kennedy</t>
  </si>
  <si>
    <t>Susan Guerrero</t>
  </si>
  <si>
    <t>Danielle Flores</t>
  </si>
  <si>
    <t>Victoria George</t>
  </si>
  <si>
    <t>Alicia Ashley</t>
  </si>
  <si>
    <t>Julia Parker</t>
  </si>
  <si>
    <t>Jason Meyer</t>
  </si>
  <si>
    <t>Megan Ortiz</t>
  </si>
  <si>
    <t>Jeremy Ruiz</t>
  </si>
  <si>
    <t>Dennis Williams</t>
  </si>
  <si>
    <t>David Williams</t>
  </si>
  <si>
    <t>Willie Meyer</t>
  </si>
  <si>
    <t>Joseph Phelps</t>
  </si>
  <si>
    <t>Steve Duffy</t>
  </si>
  <si>
    <t>Leslie Edwards</t>
  </si>
  <si>
    <t>Patricia Vasquez</t>
  </si>
  <si>
    <t>Jay Bryant</t>
  </si>
  <si>
    <t>Ethan Martin</t>
  </si>
  <si>
    <t>Rachel Carrillo</t>
  </si>
  <si>
    <t>Jason Valencia</t>
  </si>
  <si>
    <t>Andrea Hale</t>
  </si>
  <si>
    <t>Michael Scott</t>
  </si>
  <si>
    <t>Pamela Berry</t>
  </si>
  <si>
    <t>Jerry Schaefer</t>
  </si>
  <si>
    <t>Angela Barber</t>
  </si>
  <si>
    <t>Spencer Long</t>
  </si>
  <si>
    <t>Donna Campbell</t>
  </si>
  <si>
    <t>Jordan Odom</t>
  </si>
  <si>
    <t>Amy Turner</t>
  </si>
  <si>
    <t>Cynthia Turner</t>
  </si>
  <si>
    <t>Kimberly Sharp</t>
  </si>
  <si>
    <t>Rhonda Weeks</t>
  </si>
  <si>
    <t>Dylan Morales</t>
  </si>
  <si>
    <t>Mary Mitchell</t>
  </si>
  <si>
    <t>Christopher Gutierrez</t>
  </si>
  <si>
    <t>David Black</t>
  </si>
  <si>
    <t>Rachel Moore</t>
  </si>
  <si>
    <t>Joshua Boyle</t>
  </si>
  <si>
    <t>Aaron Harmon</t>
  </si>
  <si>
    <t>Marisa Chambers</t>
  </si>
  <si>
    <t>Kayla Moore</t>
  </si>
  <si>
    <t>Gloria Jones</t>
  </si>
  <si>
    <t>Amanda Cline</t>
  </si>
  <si>
    <t>Cesar Lewis</t>
  </si>
  <si>
    <t>Trevor Buchanan</t>
  </si>
  <si>
    <t>Danielle Booker</t>
  </si>
  <si>
    <t>Gerald Simon</t>
  </si>
  <si>
    <t>Melanie Ross</t>
  </si>
  <si>
    <t>Justin Thompson</t>
  </si>
  <si>
    <t>Nicole Pearson</t>
  </si>
  <si>
    <t>Jason Fowler</t>
  </si>
  <si>
    <t>Colton Alexander</t>
  </si>
  <si>
    <t>Sheila Murphy</t>
  </si>
  <si>
    <t>Monica West</t>
  </si>
  <si>
    <t>Holly Campbell</t>
  </si>
  <si>
    <t>Jason Davis</t>
  </si>
  <si>
    <t>Eric Bryant</t>
  </si>
  <si>
    <t>Melissa Love</t>
  </si>
  <si>
    <t>Lawrence Flowers</t>
  </si>
  <si>
    <t>Misty Alexander</t>
  </si>
  <si>
    <t>Carl Adkins</t>
  </si>
  <si>
    <t>Sean Aguilar</t>
  </si>
  <si>
    <t>Brian Wong</t>
  </si>
  <si>
    <t>Lori Gomez</t>
  </si>
  <si>
    <t>Phillip Davis</t>
  </si>
  <si>
    <t>Steven Ayala</t>
  </si>
  <si>
    <t>Toni Walters MD</t>
  </si>
  <si>
    <t>Melissa Zavala</t>
  </si>
  <si>
    <t>Tammy Christensen</t>
  </si>
  <si>
    <t>Derek Gonzales</t>
  </si>
  <si>
    <t>Carlos Cannon</t>
  </si>
  <si>
    <t>Kyle Rivera</t>
  </si>
  <si>
    <t>Jennifer Patterson</t>
  </si>
  <si>
    <t>Ana Moreno</t>
  </si>
  <si>
    <t>Michael Robertson</t>
  </si>
  <si>
    <t>Adam Cruz</t>
  </si>
  <si>
    <t>Joan Krueger</t>
  </si>
  <si>
    <t>Jeffrey Keller</t>
  </si>
  <si>
    <t>Kimberly Miller</t>
  </si>
  <si>
    <t>Carolyn Leblanc</t>
  </si>
  <si>
    <t>Mr. Randy Mills</t>
  </si>
  <si>
    <t>Crystal Duncan</t>
  </si>
  <si>
    <t>Sherry Rios</t>
  </si>
  <si>
    <t>Dr. Alexander Patrick</t>
  </si>
  <si>
    <t>Jerry Sanford</t>
  </si>
  <si>
    <t>Sarah Zimmerman</t>
  </si>
  <si>
    <t>Robert Santos</t>
  </si>
  <si>
    <t>Vincent Black</t>
  </si>
  <si>
    <t>Leah Johnson</t>
  </si>
  <si>
    <t>Robin Mcbride</t>
  </si>
  <si>
    <t>Steven George</t>
  </si>
  <si>
    <t>Greg Adams</t>
  </si>
  <si>
    <t>Tammy Mccarthy MD</t>
  </si>
  <si>
    <t>Benjamin Roman</t>
  </si>
  <si>
    <t>Brian Richmond</t>
  </si>
  <si>
    <t>Caitlin Sanders</t>
  </si>
  <si>
    <t>Diamond Frazier</t>
  </si>
  <si>
    <t>Brett Davis</t>
  </si>
  <si>
    <t>Laura Huerta</t>
  </si>
  <si>
    <t>Molly Davis DDS</t>
  </si>
  <si>
    <t>Dylan Jones</t>
  </si>
  <si>
    <t>James Williams</t>
  </si>
  <si>
    <t>Kyle Gonzalez</t>
  </si>
  <si>
    <t>Robert Duncan</t>
  </si>
  <si>
    <t>Nathan Mcintosh</t>
  </si>
  <si>
    <t>Lynn Moore</t>
  </si>
  <si>
    <t>Dr. Keith Smith Jr.</t>
  </si>
  <si>
    <t>Ricardo Anderson</t>
  </si>
  <si>
    <t>Lauren Alvarez</t>
  </si>
  <si>
    <t>Thomas Griffith</t>
  </si>
  <si>
    <t>Jonathan Levy</t>
  </si>
  <si>
    <t>Miranda Molina</t>
  </si>
  <si>
    <t>Timothy Mcintosh</t>
  </si>
  <si>
    <t>Scott Kennedy</t>
  </si>
  <si>
    <t>Douglas Richardson</t>
  </si>
  <si>
    <t>Natalie Tran</t>
  </si>
  <si>
    <t>John Price</t>
  </si>
  <si>
    <t>Brian Rose</t>
  </si>
  <si>
    <t>David Reyes</t>
  </si>
  <si>
    <t>Dylan Miller</t>
  </si>
  <si>
    <t>Allen Young</t>
  </si>
  <si>
    <t>Aaron Gamble</t>
  </si>
  <si>
    <t>Rodney Hernandez</t>
  </si>
  <si>
    <t>Kevin Christensen</t>
  </si>
  <si>
    <t>Kevin Perez</t>
  </si>
  <si>
    <t>Jack Elliott</t>
  </si>
  <si>
    <t>Amanda Young</t>
  </si>
  <si>
    <t>Jacob Webb</t>
  </si>
  <si>
    <t>Kimberly Blackwell</t>
  </si>
  <si>
    <t>Tracy Martinez</t>
  </si>
  <si>
    <t>Gary Ward</t>
  </si>
  <si>
    <t>Cheryl Lee</t>
  </si>
  <si>
    <t>Spencer Osborn</t>
  </si>
  <si>
    <t>Maria Bailey</t>
  </si>
  <si>
    <t>William Banks</t>
  </si>
  <si>
    <t>Amy Hamilton</t>
  </si>
  <si>
    <t>William Jones</t>
  </si>
  <si>
    <t>Kristi Escobar</t>
  </si>
  <si>
    <t>Justin Terrell</t>
  </si>
  <si>
    <t>Brooke Lopez</t>
  </si>
  <si>
    <t>Elizabeth Davis</t>
  </si>
  <si>
    <t>Donald Zavala</t>
  </si>
  <si>
    <t>Jacob Rodgers</t>
  </si>
  <si>
    <t>Bradley Green</t>
  </si>
  <si>
    <t>Martha Robinson</t>
  </si>
  <si>
    <t>Jennifer Armstrong</t>
  </si>
  <si>
    <t>Erin Thompson</t>
  </si>
  <si>
    <t>Location</t>
  </si>
  <si>
    <t>Order ID</t>
  </si>
  <si>
    <t>Date</t>
  </si>
  <si>
    <t>Product</t>
  </si>
  <si>
    <t>Category</t>
  </si>
  <si>
    <t>Quantity</t>
  </si>
  <si>
    <t>Unit Price</t>
  </si>
  <si>
    <t>Payment Method</t>
  </si>
  <si>
    <t>Status</t>
  </si>
  <si>
    <t>Total_Sales</t>
  </si>
  <si>
    <t>Laptop</t>
  </si>
  <si>
    <t>Accessories</t>
  </si>
  <si>
    <t>PayPal</t>
  </si>
  <si>
    <t>Shipped</t>
  </si>
  <si>
    <t>Speaker</t>
  </si>
  <si>
    <t>Credit Card</t>
  </si>
  <si>
    <t>Cancelled</t>
  </si>
  <si>
    <t>Keyboard</t>
  </si>
  <si>
    <t>USB Cable</t>
  </si>
  <si>
    <t>Cash</t>
  </si>
  <si>
    <t>Office</t>
  </si>
  <si>
    <t>Charger</t>
  </si>
  <si>
    <t>Webcam</t>
  </si>
  <si>
    <t>Headphones</t>
  </si>
  <si>
    <t>Monitor</t>
  </si>
  <si>
    <t>Electronics</t>
  </si>
  <si>
    <t>Pending</t>
  </si>
  <si>
    <t>Mouse</t>
  </si>
  <si>
    <t>Smartwatch</t>
  </si>
  <si>
    <t>Sales (Avg If)</t>
  </si>
  <si>
    <t>Sales (Avg Ifs)</t>
  </si>
  <si>
    <t>loc</t>
  </si>
  <si>
    <t>sequence &amp;count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</si>
</sst>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EGP]\ #,##0"/>
    <numFmt numFmtId="165" formatCode="_(&quot;$&quot;* #,##0_);_(&quot;$&quot;* \(#,##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</patternFill>
    </fill>
    <fill>
      <patternFill patternType="solid">
        <fgColor theme="8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theme="7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5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6" borderId="11" applyNumberFormat="0" applyFont="0" applyAlignment="0" applyProtection="0"/>
    <xf numFmtId="0" fontId="4" fillId="7" borderId="0" applyNumberFormat="0" applyBorder="0" applyAlignment="0" applyProtection="0"/>
    <xf numFmtId="44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9" fontId="2" fillId="11" borderId="2" xfId="1" applyFont="1" applyFill="1" applyBorder="1" applyAlignment="1">
      <alignment horizontal="center" vertical="center"/>
    </xf>
    <xf numFmtId="9" fontId="2" fillId="11" borderId="1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7" borderId="6" xfId="3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0" fontId="0" fillId="6" borderId="11" xfId="2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1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9" fontId="0" fillId="0" borderId="1" xfId="1" applyFont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165" fontId="2" fillId="17" borderId="9" xfId="0" applyNumberFormat="1" applyFont="1" applyFill="1" applyBorder="1" applyAlignment="1">
      <alignment horizontal="center" vertical="center"/>
    </xf>
    <xf numFmtId="0" fontId="2" fillId="17" borderId="8" xfId="0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5" fontId="0" fillId="0" borderId="9" xfId="4" applyNumberFormat="1" applyFont="1" applyBorder="1" applyAlignment="1">
      <alignment horizontal="center" vertical="center"/>
    </xf>
    <xf numFmtId="165" fontId="0" fillId="2" borderId="15" xfId="0" applyNumberForma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165" fontId="0" fillId="2" borderId="9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5" fontId="0" fillId="0" borderId="3" xfId="4" applyNumberFormat="1" applyFont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6" borderId="18" xfId="2" applyFont="1" applyBorder="1" applyAlignment="1">
      <alignment horizontal="center" vertical="center"/>
    </xf>
    <xf numFmtId="0" fontId="4" fillId="7" borderId="17" xfId="3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7" fillId="18" borderId="0" xfId="0" applyFont="1" applyFill="1" applyAlignment="1">
      <alignment horizontal="center"/>
    </xf>
  </cellXfs>
  <cellStyles count="5">
    <cellStyle name="Accent5" xfId="3" builtinId="45"/>
    <cellStyle name="Currency" xfId="4" builtinId="4"/>
    <cellStyle name="Normal" xfId="0" builtinId="0"/>
    <cellStyle name="Note" xfId="2" builtinId="10"/>
    <cellStyle name="Percent" xfId="1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b56929e2b7bf165/Desktop/Excel%20Session%201/Session1/Excel%20Equations-1.xlsx" TargetMode="External"/><Relationship Id="rId1" Type="http://schemas.openxmlformats.org/officeDocument/2006/relationships/externalLinkPath" Target="https://amitlearning1-my.sharepoint.com/personal/ayman_magdy_amit-learning_com/Documents/Me/Data%20Analysis/Excel/Session%201/Excel%20Equations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15"/>
      <sheetName val="5"/>
      <sheetName val="12"/>
      <sheetName val="13"/>
      <sheetName val="16"/>
      <sheetName val="17"/>
      <sheetName val="18"/>
      <sheetName val="19"/>
      <sheetName val="Sheet1"/>
      <sheetName val="20"/>
      <sheetName val="10"/>
      <sheetName val="11"/>
      <sheetName val="9"/>
      <sheetName val="7"/>
      <sheetName val="8"/>
      <sheetName val="6"/>
      <sheetName val="Sheet3"/>
      <sheetName val="Sheet2"/>
      <sheetName val="Performance"/>
      <sheetName val="case study"/>
      <sheetName val="Excel Equations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2D3CEC7-A2E4-4171-80CE-81DBE2846D6A}" autoFormatId="16" applyNumberFormats="0" applyBorderFormats="0" applyFontFormats="0" applyPatternFormats="0" applyAlignmentFormats="0" applyWidthHeightFormats="0">
  <queryTableRefresh nextId="7">
    <queryTableFields count="3">
      <queryTableField id="4" name="Customer Name" tableColumnId="4"/>
      <queryTableField id="5" name="Customer Email" tableColumnId="5"/>
      <queryTableField id="6" name="City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FC231-3C31-487B-AE1A-EC59DEE398B4}" name="Table1" displayName="Table1" ref="A11:F61" totalsRowShown="0" headerRowDxfId="14" dataDxfId="12" headerRowBorderDxfId="13" tableBorderDxfId="11">
  <autoFilter ref="A11:F61" xr:uid="{8E8FC231-3C31-487B-AE1A-EC59DEE398B4}"/>
  <tableColumns count="6">
    <tableColumn id="1" xr3:uid="{81C98EAF-6B39-4E8E-966B-ACF3277BFDD2}" name="Serial" dataDxfId="10"/>
    <tableColumn id="2" xr3:uid="{E2C146F7-55C2-4367-9DA4-1D9ABB92EAB9}" name="HRID" dataDxfId="9"/>
    <tableColumn id="3" xr3:uid="{1EB4E722-FA4F-4C43-A340-7EB4C2F34B16}" name="Name" dataDxfId="8"/>
    <tableColumn id="4" xr3:uid="{950DD2C4-639D-46F7-8012-61C0E2DC01A5}" name="Account" dataDxfId="7"/>
    <tableColumn id="5" xr3:uid="{68454C73-8E19-472D-9D35-E78E1F2405EC}" name="Phone Number" dataDxfId="6"/>
    <tableColumn id="6" xr3:uid="{9F1DF5A7-0CE2-40B2-9F93-F970239787C0}" name="Gender" dataDxfId="5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49F750-25C8-40E0-99EB-1A43EF0DD05F}" name="CS_3" displayName="CS_3" ref="A1:C321" tableType="queryTable" totalsRowShown="0">
  <autoFilter ref="A1:C321" xr:uid="{1249F750-25C8-40E0-99EB-1A43EF0DD05F}"/>
  <tableColumns count="3">
    <tableColumn id="4" xr3:uid="{258E376D-B209-4EF6-BA8E-57653040DAFD}" uniqueName="4" name="Customer Name" queryTableFieldId="4" dataDxfId="4"/>
    <tableColumn id="5" xr3:uid="{E6F64930-2839-44D0-A9A8-8B972CD00E1A}" uniqueName="5" name="Customer Email" queryTableFieldId="5" dataDxfId="3"/>
    <tableColumn id="6" xr3:uid="{341D31D6-1FA3-4702-AC39-56D778FF702A}" uniqueName="6" name="City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90DB-735A-4BA3-B242-953272D59F6F}">
  <dimension ref="A1:E25"/>
  <sheetViews>
    <sheetView zoomScale="115" zoomScaleNormal="115" workbookViewId="0">
      <selection activeCell="A2" sqref="A2:A13"/>
    </sheetView>
  </sheetViews>
  <sheetFormatPr defaultRowHeight="14.4" x14ac:dyDescent="0.3"/>
  <cols>
    <col min="1" max="1" width="39.77734375" bestFit="1" customWidth="1"/>
    <col min="2" max="2" width="45.77734375" bestFit="1" customWidth="1"/>
    <col min="4" max="4" width="12.21875" bestFit="1" customWidth="1"/>
    <col min="5" max="5" width="34" bestFit="1" customWidth="1"/>
  </cols>
  <sheetData>
    <row r="1" spans="1:5" x14ac:dyDescent="0.3">
      <c r="A1" s="88" t="s">
        <v>0</v>
      </c>
      <c r="B1" s="88"/>
      <c r="D1" s="89" t="s">
        <v>1</v>
      </c>
      <c r="E1" s="89"/>
    </row>
    <row r="2" spans="1:5" x14ac:dyDescent="0.3">
      <c r="A2" s="11" t="s">
        <v>2</v>
      </c>
      <c r="B2" s="11" t="s">
        <v>3</v>
      </c>
      <c r="D2" s="12" t="s">
        <v>4</v>
      </c>
      <c r="E2" s="12" t="s">
        <v>5</v>
      </c>
    </row>
    <row r="3" spans="1:5" x14ac:dyDescent="0.3">
      <c r="A3" s="11" t="s">
        <v>6</v>
      </c>
      <c r="B3" s="11" t="s">
        <v>7</v>
      </c>
      <c r="D3" s="12" t="s">
        <v>8</v>
      </c>
      <c r="E3" s="12" t="s">
        <v>9</v>
      </c>
    </row>
    <row r="4" spans="1:5" x14ac:dyDescent="0.3">
      <c r="A4" s="11" t="s">
        <v>10</v>
      </c>
      <c r="B4" s="11" t="s">
        <v>11</v>
      </c>
      <c r="D4" s="12" t="s">
        <v>12</v>
      </c>
      <c r="E4" s="12" t="s">
        <v>13</v>
      </c>
    </row>
    <row r="5" spans="1:5" x14ac:dyDescent="0.3">
      <c r="A5" s="11" t="s">
        <v>14</v>
      </c>
      <c r="B5" s="11" t="s">
        <v>15</v>
      </c>
      <c r="D5" s="12" t="s">
        <v>16</v>
      </c>
      <c r="E5" s="12" t="s">
        <v>17</v>
      </c>
    </row>
    <row r="6" spans="1:5" x14ac:dyDescent="0.3">
      <c r="A6" s="11" t="s">
        <v>18</v>
      </c>
      <c r="B6" s="11" t="s">
        <v>19</v>
      </c>
      <c r="D6" s="12" t="s">
        <v>20</v>
      </c>
      <c r="E6" s="12" t="s">
        <v>21</v>
      </c>
    </row>
    <row r="7" spans="1:5" x14ac:dyDescent="0.3">
      <c r="A7" s="13" t="s">
        <v>22</v>
      </c>
      <c r="B7" s="13" t="s">
        <v>23</v>
      </c>
      <c r="D7" s="12" t="s">
        <v>24</v>
      </c>
      <c r="E7" s="12" t="s">
        <v>25</v>
      </c>
    </row>
    <row r="8" spans="1:5" x14ac:dyDescent="0.3">
      <c r="A8" s="13" t="s">
        <v>26</v>
      </c>
      <c r="B8" s="13" t="s">
        <v>27</v>
      </c>
      <c r="D8" s="12" t="s">
        <v>28</v>
      </c>
      <c r="E8" s="12" t="s">
        <v>29</v>
      </c>
    </row>
    <row r="9" spans="1:5" x14ac:dyDescent="0.3">
      <c r="A9" s="13" t="s">
        <v>30</v>
      </c>
      <c r="B9" s="13" t="s">
        <v>31</v>
      </c>
      <c r="D9" s="12" t="s">
        <v>32</v>
      </c>
      <c r="E9" s="12" t="s">
        <v>33</v>
      </c>
    </row>
    <row r="10" spans="1:5" x14ac:dyDescent="0.3">
      <c r="A10" s="13" t="s">
        <v>34</v>
      </c>
      <c r="B10" s="13" t="s">
        <v>35</v>
      </c>
      <c r="D10" s="12" t="s">
        <v>36</v>
      </c>
      <c r="E10" s="12" t="s">
        <v>37</v>
      </c>
    </row>
    <row r="11" spans="1:5" x14ac:dyDescent="0.3">
      <c r="A11" s="13" t="s">
        <v>38</v>
      </c>
      <c r="B11" s="13" t="s">
        <v>39</v>
      </c>
      <c r="D11" s="12" t="s">
        <v>40</v>
      </c>
      <c r="E11" s="12" t="s">
        <v>41</v>
      </c>
    </row>
    <row r="12" spans="1:5" x14ac:dyDescent="0.3">
      <c r="A12" s="13" t="s">
        <v>42</v>
      </c>
      <c r="B12" s="13" t="s">
        <v>43</v>
      </c>
      <c r="D12" s="12" t="s">
        <v>44</v>
      </c>
      <c r="E12" s="12" t="s">
        <v>45</v>
      </c>
    </row>
    <row r="13" spans="1:5" x14ac:dyDescent="0.3">
      <c r="A13" s="11" t="s">
        <v>46</v>
      </c>
      <c r="B13" s="13" t="s">
        <v>47</v>
      </c>
      <c r="D13" s="12" t="s">
        <v>48</v>
      </c>
      <c r="E13" s="12" t="s">
        <v>49</v>
      </c>
    </row>
    <row r="14" spans="1:5" x14ac:dyDescent="0.3">
      <c r="D14" s="12" t="s">
        <v>50</v>
      </c>
      <c r="E14" s="12" t="s">
        <v>51</v>
      </c>
    </row>
    <row r="15" spans="1:5" x14ac:dyDescent="0.3">
      <c r="A15" s="10" t="s">
        <v>52</v>
      </c>
      <c r="B15" s="10"/>
    </row>
    <row r="16" spans="1:5" ht="15" x14ac:dyDescent="0.3">
      <c r="A16" s="14" t="s">
        <v>53</v>
      </c>
      <c r="B16" s="12" t="s">
        <v>54</v>
      </c>
    </row>
    <row r="17" spans="1:2" ht="15" x14ac:dyDescent="0.3">
      <c r="A17" s="14" t="s">
        <v>55</v>
      </c>
      <c r="B17" s="12" t="s">
        <v>56</v>
      </c>
    </row>
    <row r="18" spans="1:2" ht="15" x14ac:dyDescent="0.3">
      <c r="A18" s="14" t="s">
        <v>57</v>
      </c>
      <c r="B18" s="12" t="s">
        <v>58</v>
      </c>
    </row>
    <row r="19" spans="1:2" ht="15" x14ac:dyDescent="0.3">
      <c r="A19" s="14" t="s">
        <v>59</v>
      </c>
      <c r="B19" s="12" t="s">
        <v>60</v>
      </c>
    </row>
    <row r="20" spans="1:2" ht="15" x14ac:dyDescent="0.3">
      <c r="A20" s="14" t="s">
        <v>61</v>
      </c>
      <c r="B20" s="12" t="s">
        <v>62</v>
      </c>
    </row>
    <row r="21" spans="1:2" ht="15" x14ac:dyDescent="0.3">
      <c r="A21" s="14" t="s">
        <v>63</v>
      </c>
      <c r="B21" s="12" t="s">
        <v>64</v>
      </c>
    </row>
    <row r="22" spans="1:2" ht="15" x14ac:dyDescent="0.3">
      <c r="A22" s="14" t="s">
        <v>65</v>
      </c>
      <c r="B22" s="12" t="s">
        <v>66</v>
      </c>
    </row>
    <row r="23" spans="1:2" ht="15" x14ac:dyDescent="0.3">
      <c r="A23" s="14" t="s">
        <v>67</v>
      </c>
      <c r="B23" s="12" t="s">
        <v>68</v>
      </c>
    </row>
    <row r="24" spans="1:2" x14ac:dyDescent="0.3">
      <c r="A24" s="12" t="s">
        <v>48</v>
      </c>
    </row>
    <row r="25" spans="1:2" x14ac:dyDescent="0.3">
      <c r="A25" s="12" t="s">
        <v>50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B2C0-444C-47F4-A010-8171142B5E7B}">
  <sheetPr filterMode="1"/>
  <dimension ref="A1:L321"/>
  <sheetViews>
    <sheetView workbookViewId="0">
      <selection activeCell="K2" sqref="K1:K2"/>
    </sheetView>
  </sheetViews>
  <sheetFormatPr defaultRowHeight="14.4" x14ac:dyDescent="0.3"/>
  <cols>
    <col min="1" max="1" width="7.6640625" bestFit="1" customWidth="1"/>
    <col min="2" max="2" width="9.109375" bestFit="1" customWidth="1"/>
    <col min="3" max="3" width="36.77734375" bestFit="1" customWidth="1"/>
    <col min="4" max="4" width="11" bestFit="1" customWidth="1"/>
    <col min="5" max="5" width="10.77734375" bestFit="1" customWidth="1"/>
    <col min="6" max="6" width="8" bestFit="1" customWidth="1"/>
    <col min="7" max="7" width="10.21875" bestFit="1" customWidth="1"/>
    <col min="8" max="8" width="14.88671875" bestFit="1" customWidth="1"/>
    <col min="9" max="9" width="9" bestFit="1" customWidth="1"/>
    <col min="10" max="10" width="19.88671875" bestFit="1" customWidth="1"/>
    <col min="11" max="11" width="10.21875" bestFit="1" customWidth="1"/>
    <col min="12" max="12" width="8.44140625" bestFit="1" customWidth="1"/>
  </cols>
  <sheetData>
    <row r="1" spans="1:12" x14ac:dyDescent="0.3">
      <c r="A1" s="61" t="s">
        <v>1202</v>
      </c>
      <c r="B1" s="61" t="s">
        <v>1203</v>
      </c>
      <c r="C1" s="61" t="s">
        <v>69</v>
      </c>
      <c r="D1" s="61" t="s">
        <v>1204</v>
      </c>
      <c r="E1" s="61" t="s">
        <v>1205</v>
      </c>
      <c r="F1" s="61" t="s">
        <v>1206</v>
      </c>
      <c r="G1" s="62" t="s">
        <v>1207</v>
      </c>
      <c r="H1" s="61" t="s">
        <v>1208</v>
      </c>
      <c r="I1" s="61" t="s">
        <v>1209</v>
      </c>
      <c r="J1" s="61" t="s">
        <v>70</v>
      </c>
      <c r="K1" s="61" t="s">
        <v>1210</v>
      </c>
      <c r="L1" s="63" t="s">
        <v>72</v>
      </c>
    </row>
    <row r="2" spans="1:12" x14ac:dyDescent="0.3">
      <c r="A2" s="6">
        <v>2660</v>
      </c>
      <c r="B2" s="64">
        <v>45664</v>
      </c>
      <c r="C2" s="6" t="s">
        <v>73</v>
      </c>
      <c r="D2" s="6" t="s">
        <v>1211</v>
      </c>
      <c r="E2" s="6" t="s">
        <v>1212</v>
      </c>
      <c r="F2" s="6">
        <v>4</v>
      </c>
      <c r="G2" s="65">
        <v>3186.64</v>
      </c>
      <c r="H2" s="6" t="s">
        <v>1213</v>
      </c>
      <c r="I2" s="6" t="s">
        <v>1214</v>
      </c>
      <c r="J2" s="6" t="s">
        <v>100</v>
      </c>
      <c r="K2" s="66">
        <f>Row_Data!$F2*Row_Data!$G2</f>
        <v>12746.56</v>
      </c>
      <c r="L2" s="67" t="str">
        <f>TEXT(Row_Data!$B2,"MMM "&amp;"YYY")</f>
        <v>Jan 2025</v>
      </c>
    </row>
    <row r="3" spans="1:12" x14ac:dyDescent="0.3">
      <c r="A3" s="6">
        <v>1204</v>
      </c>
      <c r="B3" s="64">
        <v>45664</v>
      </c>
      <c r="C3" s="6" t="s">
        <v>75</v>
      </c>
      <c r="D3" s="6" t="s">
        <v>1215</v>
      </c>
      <c r="E3" s="6" t="s">
        <v>1212</v>
      </c>
      <c r="F3" s="6">
        <v>3</v>
      </c>
      <c r="G3" s="65">
        <v>3918.42</v>
      </c>
      <c r="H3" s="6" t="s">
        <v>1216</v>
      </c>
      <c r="I3" s="6" t="s">
        <v>1217</v>
      </c>
      <c r="J3" s="6" t="s">
        <v>394</v>
      </c>
      <c r="K3" s="68">
        <f>Row_Data!$F3*Row_Data!$G3</f>
        <v>11755.26</v>
      </c>
      <c r="L3" s="69" t="str">
        <f>TEXT(Row_Data!$B3,"MMM "&amp;"YYY")</f>
        <v>Jan 2025</v>
      </c>
    </row>
    <row r="4" spans="1:12" x14ac:dyDescent="0.3">
      <c r="A4" s="6">
        <v>6212</v>
      </c>
      <c r="B4" s="64">
        <v>45665</v>
      </c>
      <c r="C4" s="6" t="s">
        <v>77</v>
      </c>
      <c r="D4" s="6" t="s">
        <v>1218</v>
      </c>
      <c r="E4" s="6" t="s">
        <v>1212</v>
      </c>
      <c r="F4" s="6">
        <v>2</v>
      </c>
      <c r="G4" s="65">
        <v>2898.21</v>
      </c>
      <c r="H4" s="6" t="s">
        <v>1216</v>
      </c>
      <c r="I4" s="6" t="s">
        <v>1214</v>
      </c>
      <c r="J4" s="6" t="s">
        <v>212</v>
      </c>
      <c r="K4" s="68">
        <f>Row_Data!$F4*Row_Data!$G4</f>
        <v>5796.42</v>
      </c>
      <c r="L4" s="69" t="str">
        <f>TEXT(Row_Data!$B4,"MMM "&amp;"YYY")</f>
        <v>Jan 2025</v>
      </c>
    </row>
    <row r="5" spans="1:12" x14ac:dyDescent="0.3">
      <c r="A5" s="6">
        <v>8491</v>
      </c>
      <c r="B5" s="64">
        <v>45665</v>
      </c>
      <c r="C5" s="6" t="s">
        <v>79</v>
      </c>
      <c r="D5" s="6" t="s">
        <v>1218</v>
      </c>
      <c r="E5" s="6" t="s">
        <v>1212</v>
      </c>
      <c r="F5" s="6">
        <v>2</v>
      </c>
      <c r="G5" s="65">
        <v>963.34</v>
      </c>
      <c r="H5" s="6" t="s">
        <v>1213</v>
      </c>
      <c r="I5" s="6" t="s">
        <v>1217</v>
      </c>
      <c r="J5" s="6" t="s">
        <v>194</v>
      </c>
      <c r="K5" s="68">
        <f>Row_Data!$F5*Row_Data!$G5</f>
        <v>1926.68</v>
      </c>
      <c r="L5" s="69" t="str">
        <f>TEXT(Row_Data!$B5,"MMM "&amp;"YYY")</f>
        <v>Jan 2025</v>
      </c>
    </row>
    <row r="6" spans="1:12" x14ac:dyDescent="0.3">
      <c r="A6" s="6">
        <v>3603</v>
      </c>
      <c r="B6" s="64">
        <v>45667</v>
      </c>
      <c r="C6" s="6" t="s">
        <v>81</v>
      </c>
      <c r="D6" s="6" t="s">
        <v>1219</v>
      </c>
      <c r="E6" s="6" t="s">
        <v>1212</v>
      </c>
      <c r="F6" s="6">
        <v>5</v>
      </c>
      <c r="G6" s="65">
        <v>4340.71</v>
      </c>
      <c r="H6" s="6" t="s">
        <v>1220</v>
      </c>
      <c r="I6" s="6" t="s">
        <v>1217</v>
      </c>
      <c r="J6" s="6" t="s">
        <v>249</v>
      </c>
      <c r="K6" s="68">
        <f>Row_Data!$F6*Row_Data!$G6</f>
        <v>21703.55</v>
      </c>
      <c r="L6" s="69" t="str">
        <f>TEXT(Row_Data!$B6,"MMM "&amp;"YYY")</f>
        <v>Jan 2025</v>
      </c>
    </row>
    <row r="7" spans="1:12" x14ac:dyDescent="0.3">
      <c r="A7" s="6">
        <v>3068</v>
      </c>
      <c r="B7" s="64">
        <v>45667</v>
      </c>
      <c r="C7" s="6" t="s">
        <v>83</v>
      </c>
      <c r="D7" s="6" t="s">
        <v>1219</v>
      </c>
      <c r="E7" s="6" t="s">
        <v>1221</v>
      </c>
      <c r="F7" s="6">
        <v>2</v>
      </c>
      <c r="G7" s="65">
        <v>988.2</v>
      </c>
      <c r="H7" s="6" t="s">
        <v>1220</v>
      </c>
      <c r="I7" s="6" t="s">
        <v>1214</v>
      </c>
      <c r="J7" s="6" t="s">
        <v>508</v>
      </c>
      <c r="K7" s="68">
        <f>Row_Data!$F7*Row_Data!$G7</f>
        <v>1976.4</v>
      </c>
      <c r="L7" s="69" t="str">
        <f>TEXT(Row_Data!$B7,"MMM "&amp;"YYY")</f>
        <v>Jan 2025</v>
      </c>
    </row>
    <row r="8" spans="1:12" x14ac:dyDescent="0.3">
      <c r="A8" s="6">
        <v>2933</v>
      </c>
      <c r="B8" s="64">
        <v>45668</v>
      </c>
      <c r="C8" s="6" t="s">
        <v>85</v>
      </c>
      <c r="D8" s="6" t="s">
        <v>1222</v>
      </c>
      <c r="E8" s="6" t="s">
        <v>1212</v>
      </c>
      <c r="F8" s="6">
        <v>1</v>
      </c>
      <c r="G8" s="65">
        <v>1619.68</v>
      </c>
      <c r="H8" s="6" t="s">
        <v>1216</v>
      </c>
      <c r="I8" s="6" t="s">
        <v>1217</v>
      </c>
      <c r="J8" s="6" t="s">
        <v>697</v>
      </c>
      <c r="K8" s="68">
        <f>Row_Data!$F8*Row_Data!$G8</f>
        <v>1619.68</v>
      </c>
      <c r="L8" s="69" t="str">
        <f>TEXT(Row_Data!$B8,"MMM "&amp;"YYY")</f>
        <v>Jan 2025</v>
      </c>
    </row>
    <row r="9" spans="1:12" x14ac:dyDescent="0.3">
      <c r="A9" s="6">
        <v>4798</v>
      </c>
      <c r="B9" s="64">
        <v>45669</v>
      </c>
      <c r="C9" s="6" t="s">
        <v>87</v>
      </c>
      <c r="D9" s="6" t="s">
        <v>1222</v>
      </c>
      <c r="E9" s="6" t="s">
        <v>1221</v>
      </c>
      <c r="F9" s="6">
        <v>3</v>
      </c>
      <c r="G9" s="65">
        <v>931.37</v>
      </c>
      <c r="H9" s="6" t="s">
        <v>1220</v>
      </c>
      <c r="I9" s="6" t="s">
        <v>1214</v>
      </c>
      <c r="J9" s="6" t="s">
        <v>279</v>
      </c>
      <c r="K9" s="68">
        <f>Row_Data!$F9*Row_Data!$G9</f>
        <v>2794.11</v>
      </c>
      <c r="L9" s="69" t="str">
        <f>TEXT(Row_Data!$B9,"MMM "&amp;"YYY")</f>
        <v>Jan 2025</v>
      </c>
    </row>
    <row r="10" spans="1:12" x14ac:dyDescent="0.3">
      <c r="A10" s="6">
        <v>6888</v>
      </c>
      <c r="B10" s="64">
        <v>45669</v>
      </c>
      <c r="C10" s="6" t="s">
        <v>89</v>
      </c>
      <c r="D10" s="6" t="s">
        <v>1223</v>
      </c>
      <c r="E10" s="6" t="s">
        <v>1221</v>
      </c>
      <c r="F10" s="6">
        <v>3</v>
      </c>
      <c r="G10" s="65">
        <v>1065.5999999999999</v>
      </c>
      <c r="H10" s="6" t="s">
        <v>1213</v>
      </c>
      <c r="I10" s="6" t="s">
        <v>1217</v>
      </c>
      <c r="J10" s="6" t="s">
        <v>476</v>
      </c>
      <c r="K10" s="68">
        <f>Row_Data!$F10*Row_Data!$G10</f>
        <v>3196.7999999999997</v>
      </c>
      <c r="L10" s="69" t="str">
        <f>TEXT(Row_Data!$B10,"MMM "&amp;"YYY")</f>
        <v>Jan 2025</v>
      </c>
    </row>
    <row r="11" spans="1:12" x14ac:dyDescent="0.3">
      <c r="A11" s="6">
        <v>7489</v>
      </c>
      <c r="B11" s="64">
        <v>45670</v>
      </c>
      <c r="C11" s="6" t="s">
        <v>91</v>
      </c>
      <c r="D11" s="6" t="s">
        <v>1224</v>
      </c>
      <c r="E11" s="6" t="s">
        <v>1221</v>
      </c>
      <c r="F11" s="6">
        <v>3</v>
      </c>
      <c r="G11" s="65">
        <v>4467.71</v>
      </c>
      <c r="H11" s="6" t="s">
        <v>1216</v>
      </c>
      <c r="I11" s="6" t="s">
        <v>1214</v>
      </c>
      <c r="J11" s="6" t="s">
        <v>430</v>
      </c>
      <c r="K11" s="68">
        <f>Row_Data!$F11*Row_Data!$G11</f>
        <v>13403.130000000001</v>
      </c>
      <c r="L11" s="69" t="str">
        <f>TEXT(Row_Data!$B11,"MMM "&amp;"YYY")</f>
        <v>Jan 2025</v>
      </c>
    </row>
    <row r="12" spans="1:12" x14ac:dyDescent="0.3">
      <c r="A12" s="6">
        <v>3485</v>
      </c>
      <c r="B12" s="64">
        <v>45670</v>
      </c>
      <c r="C12" s="6" t="s">
        <v>93</v>
      </c>
      <c r="D12" s="6" t="s">
        <v>1224</v>
      </c>
      <c r="E12" s="6" t="s">
        <v>1221</v>
      </c>
      <c r="F12" s="6">
        <v>1</v>
      </c>
      <c r="G12" s="65">
        <v>478.66</v>
      </c>
      <c r="H12" s="6" t="s">
        <v>1216</v>
      </c>
      <c r="I12" s="6" t="s">
        <v>1217</v>
      </c>
      <c r="J12" s="6" t="s">
        <v>504</v>
      </c>
      <c r="K12" s="68">
        <f>Row_Data!$F12*Row_Data!$G12</f>
        <v>478.66</v>
      </c>
      <c r="L12" s="69" t="str">
        <f>TEXT(Row_Data!$B12,"MMM "&amp;"YYY")</f>
        <v>Jan 2025</v>
      </c>
    </row>
    <row r="13" spans="1:12" x14ac:dyDescent="0.3">
      <c r="A13" s="6">
        <v>4327</v>
      </c>
      <c r="B13" s="64">
        <v>45671</v>
      </c>
      <c r="C13" s="6" t="s">
        <v>95</v>
      </c>
      <c r="D13" s="6" t="s">
        <v>1225</v>
      </c>
      <c r="E13" s="6" t="s">
        <v>1226</v>
      </c>
      <c r="F13" s="6">
        <v>3</v>
      </c>
      <c r="G13" s="65">
        <v>1682.37</v>
      </c>
      <c r="H13" s="6" t="s">
        <v>1220</v>
      </c>
      <c r="I13" s="6" t="s">
        <v>1217</v>
      </c>
      <c r="J13" s="6" t="s">
        <v>350</v>
      </c>
      <c r="K13" s="68">
        <f>Row_Data!$F13*Row_Data!$G13</f>
        <v>5047.1099999999997</v>
      </c>
      <c r="L13" s="69" t="str">
        <f>TEXT(Row_Data!$B13,"MMM "&amp;"YYY")</f>
        <v>Jan 2025</v>
      </c>
    </row>
    <row r="14" spans="1:12" x14ac:dyDescent="0.3">
      <c r="A14" s="6">
        <v>6247</v>
      </c>
      <c r="B14" s="64">
        <v>45672</v>
      </c>
      <c r="C14" s="6" t="s">
        <v>97</v>
      </c>
      <c r="D14" s="6" t="s">
        <v>1224</v>
      </c>
      <c r="E14" s="6" t="s">
        <v>1212</v>
      </c>
      <c r="F14" s="6">
        <v>4</v>
      </c>
      <c r="G14" s="65">
        <v>2661.51</v>
      </c>
      <c r="H14" s="6" t="s">
        <v>1220</v>
      </c>
      <c r="I14" s="6" t="s">
        <v>1227</v>
      </c>
      <c r="J14" s="6" t="s">
        <v>526</v>
      </c>
      <c r="K14" s="68">
        <f>Row_Data!$F14*Row_Data!$G14</f>
        <v>10646.04</v>
      </c>
      <c r="L14" s="69" t="str">
        <f>TEXT(Row_Data!$B14,"MMM "&amp;"YYY")</f>
        <v>Jan 2025</v>
      </c>
    </row>
    <row r="15" spans="1:12" x14ac:dyDescent="0.3">
      <c r="A15" s="6">
        <v>8097</v>
      </c>
      <c r="B15" s="64">
        <v>45673</v>
      </c>
      <c r="C15" s="6" t="s">
        <v>99</v>
      </c>
      <c r="D15" s="6" t="s">
        <v>1228</v>
      </c>
      <c r="E15" s="6" t="s">
        <v>1226</v>
      </c>
      <c r="F15" s="6">
        <v>1</v>
      </c>
      <c r="G15" s="65">
        <v>1467.94</v>
      </c>
      <c r="H15" s="6" t="s">
        <v>1213</v>
      </c>
      <c r="I15" s="6" t="s">
        <v>1217</v>
      </c>
      <c r="J15" s="6" t="s">
        <v>255</v>
      </c>
      <c r="K15" s="68">
        <f>Row_Data!$F15*Row_Data!$G15</f>
        <v>1467.94</v>
      </c>
      <c r="L15" s="69" t="str">
        <f>TEXT(Row_Data!$B15,"MMM "&amp;"YYY")</f>
        <v>Jan 2025</v>
      </c>
    </row>
    <row r="16" spans="1:12" x14ac:dyDescent="0.3">
      <c r="A16" s="6">
        <v>5868</v>
      </c>
      <c r="B16" s="64">
        <v>45673</v>
      </c>
      <c r="C16" s="6" t="s">
        <v>101</v>
      </c>
      <c r="D16" s="6" t="s">
        <v>1229</v>
      </c>
      <c r="E16" s="6" t="s">
        <v>1221</v>
      </c>
      <c r="F16" s="6">
        <v>4</v>
      </c>
      <c r="G16" s="65">
        <v>3692.08</v>
      </c>
      <c r="H16" s="6" t="s">
        <v>1213</v>
      </c>
      <c r="I16" s="6" t="s">
        <v>1214</v>
      </c>
      <c r="J16" s="6" t="s">
        <v>460</v>
      </c>
      <c r="K16" s="68">
        <f>Row_Data!$F16*Row_Data!$G16</f>
        <v>14768.32</v>
      </c>
      <c r="L16" s="69" t="str">
        <f>TEXT(Row_Data!$B16,"MMM "&amp;"YYY")</f>
        <v>Jan 2025</v>
      </c>
    </row>
    <row r="17" spans="1:12" x14ac:dyDescent="0.3">
      <c r="A17" s="6">
        <v>8768</v>
      </c>
      <c r="B17" s="64">
        <v>45674</v>
      </c>
      <c r="C17" s="6" t="s">
        <v>103</v>
      </c>
      <c r="D17" s="6" t="s">
        <v>1225</v>
      </c>
      <c r="E17" s="6" t="s">
        <v>1221</v>
      </c>
      <c r="F17" s="6">
        <v>5</v>
      </c>
      <c r="G17" s="65">
        <v>2046.78</v>
      </c>
      <c r="H17" s="6" t="s">
        <v>1216</v>
      </c>
      <c r="I17" s="6" t="s">
        <v>1217</v>
      </c>
      <c r="J17" s="6" t="s">
        <v>597</v>
      </c>
      <c r="K17" s="68">
        <f>Row_Data!$F17*Row_Data!$G17</f>
        <v>10233.9</v>
      </c>
      <c r="L17" s="69" t="str">
        <f>TEXT(Row_Data!$B17,"MMM "&amp;"YYY")</f>
        <v>Jan 2025</v>
      </c>
    </row>
    <row r="18" spans="1:12" x14ac:dyDescent="0.3">
      <c r="A18" s="6">
        <v>9563</v>
      </c>
      <c r="B18" s="64">
        <v>45674</v>
      </c>
      <c r="C18" s="6" t="s">
        <v>105</v>
      </c>
      <c r="D18" s="6" t="s">
        <v>1222</v>
      </c>
      <c r="E18" s="6" t="s">
        <v>1221</v>
      </c>
      <c r="F18" s="6">
        <v>2</v>
      </c>
      <c r="G18" s="65">
        <v>1997.47</v>
      </c>
      <c r="H18" s="6" t="s">
        <v>1213</v>
      </c>
      <c r="I18" s="6" t="s">
        <v>1214</v>
      </c>
      <c r="J18" s="6" t="s">
        <v>468</v>
      </c>
      <c r="K18" s="68">
        <f>Row_Data!$F18*Row_Data!$G18</f>
        <v>3994.94</v>
      </c>
      <c r="L18" s="69" t="str">
        <f>TEXT(Row_Data!$B18,"MMM "&amp;"YYY")</f>
        <v>Jan 2025</v>
      </c>
    </row>
    <row r="19" spans="1:12" x14ac:dyDescent="0.3">
      <c r="A19" s="6">
        <v>7190</v>
      </c>
      <c r="B19" s="64">
        <v>45674</v>
      </c>
      <c r="C19" s="6" t="s">
        <v>107</v>
      </c>
      <c r="D19" s="6" t="s">
        <v>1228</v>
      </c>
      <c r="E19" s="6" t="s">
        <v>1226</v>
      </c>
      <c r="F19" s="6">
        <v>3</v>
      </c>
      <c r="G19" s="65">
        <v>3161.26</v>
      </c>
      <c r="H19" s="6" t="s">
        <v>1213</v>
      </c>
      <c r="I19" s="6" t="s">
        <v>1227</v>
      </c>
      <c r="J19" s="6" t="s">
        <v>154</v>
      </c>
      <c r="K19" s="68">
        <f>Row_Data!$F19*Row_Data!$G19</f>
        <v>9483.7800000000007</v>
      </c>
      <c r="L19" s="69" t="str">
        <f>TEXT(Row_Data!$B19,"MMM "&amp;"YYY")</f>
        <v>Jan 2025</v>
      </c>
    </row>
    <row r="20" spans="1:12" x14ac:dyDescent="0.3">
      <c r="A20" s="6">
        <v>5911</v>
      </c>
      <c r="B20" s="64">
        <v>45674</v>
      </c>
      <c r="C20" s="6" t="s">
        <v>109</v>
      </c>
      <c r="D20" s="6" t="s">
        <v>1225</v>
      </c>
      <c r="E20" s="6" t="s">
        <v>1221</v>
      </c>
      <c r="F20" s="6">
        <v>4</v>
      </c>
      <c r="G20" s="65">
        <v>2916.04</v>
      </c>
      <c r="H20" s="6" t="s">
        <v>1220</v>
      </c>
      <c r="I20" s="6" t="s">
        <v>1214</v>
      </c>
      <c r="J20" s="6" t="s">
        <v>253</v>
      </c>
      <c r="K20" s="68">
        <f>Row_Data!$F20*Row_Data!$G20</f>
        <v>11664.16</v>
      </c>
      <c r="L20" s="69" t="str">
        <f>TEXT(Row_Data!$B20,"MMM "&amp;"YYY")</f>
        <v>Jan 2025</v>
      </c>
    </row>
    <row r="21" spans="1:12" x14ac:dyDescent="0.3">
      <c r="A21" s="6">
        <v>9758</v>
      </c>
      <c r="B21" s="64">
        <v>45676</v>
      </c>
      <c r="C21" s="6" t="s">
        <v>111</v>
      </c>
      <c r="D21" s="6" t="s">
        <v>1229</v>
      </c>
      <c r="E21" s="6" t="s">
        <v>1212</v>
      </c>
      <c r="F21" s="6">
        <v>1</v>
      </c>
      <c r="G21" s="65">
        <v>2972.25</v>
      </c>
      <c r="H21" s="6" t="s">
        <v>1216</v>
      </c>
      <c r="I21" s="6" t="s">
        <v>1217</v>
      </c>
      <c r="J21" s="6" t="s">
        <v>617</v>
      </c>
      <c r="K21" s="68">
        <f>Row_Data!$F21*Row_Data!$G21</f>
        <v>2972.25</v>
      </c>
      <c r="L21" s="69" t="str">
        <f>TEXT(Row_Data!$B21,"MMM "&amp;"YYY")</f>
        <v>Jan 2025</v>
      </c>
    </row>
    <row r="22" spans="1:12" x14ac:dyDescent="0.3">
      <c r="A22" s="6">
        <v>4662</v>
      </c>
      <c r="B22" s="64">
        <v>45676</v>
      </c>
      <c r="C22" s="6" t="s">
        <v>113</v>
      </c>
      <c r="D22" s="6" t="s">
        <v>1225</v>
      </c>
      <c r="E22" s="6" t="s">
        <v>1226</v>
      </c>
      <c r="F22" s="6">
        <v>5</v>
      </c>
      <c r="G22" s="65">
        <v>2135.4</v>
      </c>
      <c r="H22" s="6" t="s">
        <v>1216</v>
      </c>
      <c r="I22" s="6" t="s">
        <v>1227</v>
      </c>
      <c r="J22" s="6" t="s">
        <v>502</v>
      </c>
      <c r="K22" s="68">
        <f>Row_Data!$F22*Row_Data!$G22</f>
        <v>10677</v>
      </c>
      <c r="L22" s="69" t="str">
        <f>TEXT(Row_Data!$B22,"MMM "&amp;"YYY")</f>
        <v>Jan 2025</v>
      </c>
    </row>
    <row r="23" spans="1:12" x14ac:dyDescent="0.3">
      <c r="A23" s="6">
        <v>4625</v>
      </c>
      <c r="B23" s="64">
        <v>45677</v>
      </c>
      <c r="C23" s="6" t="s">
        <v>115</v>
      </c>
      <c r="D23" s="6" t="s">
        <v>1225</v>
      </c>
      <c r="E23" s="6" t="s">
        <v>1212</v>
      </c>
      <c r="F23" s="6">
        <v>1</v>
      </c>
      <c r="G23" s="65">
        <v>3713.19</v>
      </c>
      <c r="H23" s="6" t="s">
        <v>1213</v>
      </c>
      <c r="I23" s="6" t="s">
        <v>1214</v>
      </c>
      <c r="J23" s="6" t="s">
        <v>657</v>
      </c>
      <c r="K23" s="68">
        <f>Row_Data!$F23*Row_Data!$G23</f>
        <v>3713.19</v>
      </c>
      <c r="L23" s="69" t="str">
        <f>TEXT(Row_Data!$B23,"MMM "&amp;"YYY")</f>
        <v>Jan 2025</v>
      </c>
    </row>
    <row r="24" spans="1:12" x14ac:dyDescent="0.3">
      <c r="A24" s="6">
        <v>3189</v>
      </c>
      <c r="B24" s="64">
        <v>45677</v>
      </c>
      <c r="C24" s="6" t="s">
        <v>117</v>
      </c>
      <c r="D24" s="6" t="s">
        <v>1228</v>
      </c>
      <c r="E24" s="6" t="s">
        <v>1221</v>
      </c>
      <c r="F24" s="6">
        <v>3</v>
      </c>
      <c r="G24" s="65">
        <v>3923.6</v>
      </c>
      <c r="H24" s="6" t="s">
        <v>1216</v>
      </c>
      <c r="I24" s="6" t="s">
        <v>1217</v>
      </c>
      <c r="J24" s="6" t="s">
        <v>182</v>
      </c>
      <c r="K24" s="68">
        <f>Row_Data!$F24*Row_Data!$G24</f>
        <v>11770.8</v>
      </c>
      <c r="L24" s="69" t="str">
        <f>TEXT(Row_Data!$B24,"MMM "&amp;"YYY")</f>
        <v>Jan 2025</v>
      </c>
    </row>
    <row r="25" spans="1:12" x14ac:dyDescent="0.3">
      <c r="A25" s="6">
        <v>3113</v>
      </c>
      <c r="B25" s="64">
        <v>45677</v>
      </c>
      <c r="C25" s="6" t="s">
        <v>119</v>
      </c>
      <c r="D25" s="6" t="s">
        <v>1225</v>
      </c>
      <c r="E25" s="6" t="s">
        <v>1226</v>
      </c>
      <c r="F25" s="6">
        <v>1</v>
      </c>
      <c r="G25" s="65">
        <v>2065.2600000000002</v>
      </c>
      <c r="H25" s="6" t="s">
        <v>1216</v>
      </c>
      <c r="I25" s="6" t="s">
        <v>1214</v>
      </c>
      <c r="J25" s="6" t="s">
        <v>452</v>
      </c>
      <c r="K25" s="68">
        <f>Row_Data!$F25*Row_Data!$G25</f>
        <v>2065.2600000000002</v>
      </c>
      <c r="L25" s="69" t="str">
        <f>TEXT(Row_Data!$B25,"MMM "&amp;"YYY")</f>
        <v>Jan 2025</v>
      </c>
    </row>
    <row r="26" spans="1:12" x14ac:dyDescent="0.3">
      <c r="A26" s="6">
        <v>7882</v>
      </c>
      <c r="B26" s="64">
        <v>45677</v>
      </c>
      <c r="C26" s="6" t="s">
        <v>121</v>
      </c>
      <c r="D26" s="6" t="s">
        <v>1223</v>
      </c>
      <c r="E26" s="6" t="s">
        <v>1221</v>
      </c>
      <c r="F26" s="6">
        <v>3</v>
      </c>
      <c r="G26" s="65">
        <v>867.47</v>
      </c>
      <c r="H26" s="6" t="s">
        <v>1220</v>
      </c>
      <c r="I26" s="6" t="s">
        <v>1214</v>
      </c>
      <c r="J26" s="6" t="s">
        <v>318</v>
      </c>
      <c r="K26" s="68">
        <f>Row_Data!$F26*Row_Data!$G26</f>
        <v>2602.41</v>
      </c>
      <c r="L26" s="69" t="str">
        <f>TEXT(Row_Data!$B26,"MMM "&amp;"YYY")</f>
        <v>Jan 2025</v>
      </c>
    </row>
    <row r="27" spans="1:12" x14ac:dyDescent="0.3">
      <c r="A27" s="6">
        <v>2828</v>
      </c>
      <c r="B27" s="64">
        <v>45678</v>
      </c>
      <c r="C27" s="6" t="s">
        <v>123</v>
      </c>
      <c r="D27" s="6" t="s">
        <v>1223</v>
      </c>
      <c r="E27" s="6" t="s">
        <v>1212</v>
      </c>
      <c r="F27" s="6">
        <v>2</v>
      </c>
      <c r="G27" s="65">
        <v>4452.83</v>
      </c>
      <c r="H27" s="6" t="s">
        <v>1220</v>
      </c>
      <c r="I27" s="6" t="s">
        <v>1214</v>
      </c>
      <c r="J27" s="6" t="s">
        <v>530</v>
      </c>
      <c r="K27" s="68">
        <f>Row_Data!$F27*Row_Data!$G27</f>
        <v>8905.66</v>
      </c>
      <c r="L27" s="69" t="str">
        <f>TEXT(Row_Data!$B27,"MMM "&amp;"YYY")</f>
        <v>Jan 2025</v>
      </c>
    </row>
    <row r="28" spans="1:12" x14ac:dyDescent="0.3">
      <c r="A28" s="6">
        <v>6796</v>
      </c>
      <c r="B28" s="64">
        <v>45678</v>
      </c>
      <c r="C28" s="6" t="s">
        <v>125</v>
      </c>
      <c r="D28" s="6" t="s">
        <v>1229</v>
      </c>
      <c r="E28" s="6" t="s">
        <v>1221</v>
      </c>
      <c r="F28" s="6">
        <v>2</v>
      </c>
      <c r="G28" s="65">
        <v>3504.58</v>
      </c>
      <c r="H28" s="6" t="s">
        <v>1216</v>
      </c>
      <c r="I28" s="6" t="s">
        <v>1227</v>
      </c>
      <c r="J28" s="6" t="s">
        <v>673</v>
      </c>
      <c r="K28" s="68">
        <f>Row_Data!$F28*Row_Data!$G28</f>
        <v>7009.16</v>
      </c>
      <c r="L28" s="69" t="str">
        <f>TEXT(Row_Data!$B28,"MMM "&amp;"YYY")</f>
        <v>Jan 2025</v>
      </c>
    </row>
    <row r="29" spans="1:12" x14ac:dyDescent="0.3">
      <c r="A29" s="6">
        <v>3092</v>
      </c>
      <c r="B29" s="64">
        <v>45678</v>
      </c>
      <c r="C29" s="6" t="s">
        <v>127</v>
      </c>
      <c r="D29" s="6" t="s">
        <v>1224</v>
      </c>
      <c r="E29" s="6" t="s">
        <v>1212</v>
      </c>
      <c r="F29" s="6">
        <v>1</v>
      </c>
      <c r="G29" s="65">
        <v>470.83</v>
      </c>
      <c r="H29" s="6" t="s">
        <v>1220</v>
      </c>
      <c r="I29" s="6" t="s">
        <v>1214</v>
      </c>
      <c r="J29" s="6" t="s">
        <v>160</v>
      </c>
      <c r="K29" s="68">
        <f>Row_Data!$F29*Row_Data!$G29</f>
        <v>470.83</v>
      </c>
      <c r="L29" s="69" t="str">
        <f>TEXT(Row_Data!$B29,"MMM "&amp;"YYY")</f>
        <v>Jan 2025</v>
      </c>
    </row>
    <row r="30" spans="1:12" x14ac:dyDescent="0.3">
      <c r="A30" s="6">
        <v>1948</v>
      </c>
      <c r="B30" s="64">
        <v>45679</v>
      </c>
      <c r="C30" s="6" t="s">
        <v>129</v>
      </c>
      <c r="D30" s="6" t="s">
        <v>1211</v>
      </c>
      <c r="E30" s="6" t="s">
        <v>1221</v>
      </c>
      <c r="F30" s="6">
        <v>1</v>
      </c>
      <c r="G30" s="65">
        <v>1126</v>
      </c>
      <c r="H30" s="6" t="s">
        <v>1213</v>
      </c>
      <c r="I30" s="6" t="s">
        <v>1217</v>
      </c>
      <c r="J30" s="6" t="s">
        <v>128</v>
      </c>
      <c r="K30" s="68">
        <f>Row_Data!$F30*Row_Data!$G30</f>
        <v>1126</v>
      </c>
      <c r="L30" s="69" t="str">
        <f>TEXT(Row_Data!$B30,"MMM "&amp;"YYY")</f>
        <v>Jan 2025</v>
      </c>
    </row>
    <row r="31" spans="1:12" x14ac:dyDescent="0.3">
      <c r="A31" s="6">
        <v>2727</v>
      </c>
      <c r="B31" s="64">
        <v>45679</v>
      </c>
      <c r="C31" s="6" t="s">
        <v>131</v>
      </c>
      <c r="D31" s="6" t="s">
        <v>1224</v>
      </c>
      <c r="E31" s="6" t="s">
        <v>1221</v>
      </c>
      <c r="F31" s="6">
        <v>4</v>
      </c>
      <c r="G31" s="65">
        <v>836.69</v>
      </c>
      <c r="H31" s="6" t="s">
        <v>1216</v>
      </c>
      <c r="I31" s="6" t="s">
        <v>1227</v>
      </c>
      <c r="J31" s="6" t="s">
        <v>251</v>
      </c>
      <c r="K31" s="68">
        <f>Row_Data!$F31*Row_Data!$G31</f>
        <v>3346.76</v>
      </c>
      <c r="L31" s="69" t="str">
        <f>TEXT(Row_Data!$B31,"MMM "&amp;"YYY")</f>
        <v>Jan 2025</v>
      </c>
    </row>
    <row r="32" spans="1:12" x14ac:dyDescent="0.3">
      <c r="A32" s="6">
        <v>1548</v>
      </c>
      <c r="B32" s="64">
        <v>45680</v>
      </c>
      <c r="C32" s="6" t="s">
        <v>133</v>
      </c>
      <c r="D32" s="6" t="s">
        <v>1223</v>
      </c>
      <c r="E32" s="6" t="s">
        <v>1212</v>
      </c>
      <c r="F32" s="6">
        <v>5</v>
      </c>
      <c r="G32" s="65">
        <v>3227.16</v>
      </c>
      <c r="H32" s="6" t="s">
        <v>1213</v>
      </c>
      <c r="I32" s="6" t="s">
        <v>1217</v>
      </c>
      <c r="J32" s="6" t="s">
        <v>486</v>
      </c>
      <c r="K32" s="68">
        <f>Row_Data!$F32*Row_Data!$G32</f>
        <v>16135.8</v>
      </c>
      <c r="L32" s="69" t="str">
        <f>TEXT(Row_Data!$B32,"MMM "&amp;"YYY")</f>
        <v>Jan 2025</v>
      </c>
    </row>
    <row r="33" spans="1:12" x14ac:dyDescent="0.3">
      <c r="A33" s="6">
        <v>1617</v>
      </c>
      <c r="B33" s="64">
        <v>45680</v>
      </c>
      <c r="C33" s="6" t="s">
        <v>135</v>
      </c>
      <c r="D33" s="6" t="s">
        <v>1211</v>
      </c>
      <c r="E33" s="6" t="s">
        <v>1221</v>
      </c>
      <c r="F33" s="6">
        <v>4</v>
      </c>
      <c r="G33" s="65">
        <v>4282.87</v>
      </c>
      <c r="H33" s="6" t="s">
        <v>1220</v>
      </c>
      <c r="I33" s="6" t="s">
        <v>1227</v>
      </c>
      <c r="J33" s="6" t="s">
        <v>450</v>
      </c>
      <c r="K33" s="68">
        <f>Row_Data!$F33*Row_Data!$G33</f>
        <v>17131.48</v>
      </c>
      <c r="L33" s="69" t="str">
        <f>TEXT(Row_Data!$B33,"MMM "&amp;"YYY")</f>
        <v>Jan 2025</v>
      </c>
    </row>
    <row r="34" spans="1:12" x14ac:dyDescent="0.3">
      <c r="A34" s="6">
        <v>3219</v>
      </c>
      <c r="B34" s="64">
        <v>45680</v>
      </c>
      <c r="C34" s="6" t="s">
        <v>137</v>
      </c>
      <c r="D34" s="6" t="s">
        <v>1225</v>
      </c>
      <c r="E34" s="6" t="s">
        <v>1226</v>
      </c>
      <c r="F34" s="6">
        <v>3</v>
      </c>
      <c r="G34" s="65">
        <v>1225.3399999999999</v>
      </c>
      <c r="H34" s="6" t="s">
        <v>1216</v>
      </c>
      <c r="I34" s="6" t="s">
        <v>1227</v>
      </c>
      <c r="J34" s="6" t="s">
        <v>222</v>
      </c>
      <c r="K34" s="68">
        <f>Row_Data!$F34*Row_Data!$G34</f>
        <v>3676.0199999999995</v>
      </c>
      <c r="L34" s="69" t="str">
        <f>TEXT(Row_Data!$B34,"MMM "&amp;"YYY")</f>
        <v>Jan 2025</v>
      </c>
    </row>
    <row r="35" spans="1:12" x14ac:dyDescent="0.3">
      <c r="A35" s="6">
        <v>1437</v>
      </c>
      <c r="B35" s="64">
        <v>45680</v>
      </c>
      <c r="C35" s="6" t="s">
        <v>139</v>
      </c>
      <c r="D35" s="6" t="s">
        <v>1229</v>
      </c>
      <c r="E35" s="6" t="s">
        <v>1212</v>
      </c>
      <c r="F35" s="6">
        <v>2</v>
      </c>
      <c r="G35" s="65">
        <v>1544.79</v>
      </c>
      <c r="H35" s="6" t="s">
        <v>1216</v>
      </c>
      <c r="I35" s="6" t="s">
        <v>1227</v>
      </c>
      <c r="J35" s="6" t="s">
        <v>208</v>
      </c>
      <c r="K35" s="68">
        <f>Row_Data!$F35*Row_Data!$G35</f>
        <v>3089.58</v>
      </c>
      <c r="L35" s="69" t="str">
        <f>TEXT(Row_Data!$B35,"MMM "&amp;"YYY")</f>
        <v>Jan 2025</v>
      </c>
    </row>
    <row r="36" spans="1:12" x14ac:dyDescent="0.3">
      <c r="A36" s="6">
        <v>1305</v>
      </c>
      <c r="B36" s="64">
        <v>45681</v>
      </c>
      <c r="C36" s="6" t="s">
        <v>141</v>
      </c>
      <c r="D36" s="6" t="s">
        <v>1215</v>
      </c>
      <c r="E36" s="6" t="s">
        <v>1212</v>
      </c>
      <c r="F36" s="6">
        <v>2</v>
      </c>
      <c r="G36" s="65">
        <v>2748.11</v>
      </c>
      <c r="H36" s="6" t="s">
        <v>1220</v>
      </c>
      <c r="I36" s="6" t="s">
        <v>1214</v>
      </c>
      <c r="J36" s="6" t="s">
        <v>314</v>
      </c>
      <c r="K36" s="68">
        <f>Row_Data!$F36*Row_Data!$G36</f>
        <v>5496.22</v>
      </c>
      <c r="L36" s="69" t="str">
        <f>TEXT(Row_Data!$B36,"MMM "&amp;"YYY")</f>
        <v>Jan 2025</v>
      </c>
    </row>
    <row r="37" spans="1:12" x14ac:dyDescent="0.3">
      <c r="A37" s="6">
        <v>5896</v>
      </c>
      <c r="B37" s="64">
        <v>45681</v>
      </c>
      <c r="C37" s="6" t="s">
        <v>143</v>
      </c>
      <c r="D37" s="6" t="s">
        <v>1222</v>
      </c>
      <c r="E37" s="6" t="s">
        <v>1221</v>
      </c>
      <c r="F37" s="6">
        <v>2</v>
      </c>
      <c r="G37" s="65">
        <v>191.31</v>
      </c>
      <c r="H37" s="6" t="s">
        <v>1220</v>
      </c>
      <c r="I37" s="6" t="s">
        <v>1217</v>
      </c>
      <c r="J37" s="6" t="s">
        <v>494</v>
      </c>
      <c r="K37" s="68">
        <f>Row_Data!$F37*Row_Data!$G37</f>
        <v>382.62</v>
      </c>
      <c r="L37" s="69" t="str">
        <f>TEXT(Row_Data!$B37,"MMM "&amp;"YYY")</f>
        <v>Jan 2025</v>
      </c>
    </row>
    <row r="38" spans="1:12" x14ac:dyDescent="0.3">
      <c r="A38" s="6">
        <v>8143</v>
      </c>
      <c r="B38" s="64">
        <v>45681</v>
      </c>
      <c r="C38" s="6" t="s">
        <v>145</v>
      </c>
      <c r="D38" s="6" t="s">
        <v>1222</v>
      </c>
      <c r="E38" s="6" t="s">
        <v>1226</v>
      </c>
      <c r="F38" s="6">
        <v>2</v>
      </c>
      <c r="G38" s="65">
        <v>692.58</v>
      </c>
      <c r="H38" s="6" t="s">
        <v>1216</v>
      </c>
      <c r="I38" s="6" t="s">
        <v>1217</v>
      </c>
      <c r="J38" s="6" t="s">
        <v>218</v>
      </c>
      <c r="K38" s="68">
        <f>Row_Data!$F38*Row_Data!$G38</f>
        <v>1385.16</v>
      </c>
      <c r="L38" s="69" t="str">
        <f>TEXT(Row_Data!$B38,"MMM "&amp;"YYY")</f>
        <v>Jan 2025</v>
      </c>
    </row>
    <row r="39" spans="1:12" x14ac:dyDescent="0.3">
      <c r="A39" s="6">
        <v>4337</v>
      </c>
      <c r="B39" s="64">
        <v>45682</v>
      </c>
      <c r="C39" s="6" t="s">
        <v>147</v>
      </c>
      <c r="D39" s="6" t="s">
        <v>1218</v>
      </c>
      <c r="E39" s="6" t="s">
        <v>1226</v>
      </c>
      <c r="F39" s="6">
        <v>1</v>
      </c>
      <c r="G39" s="65">
        <v>3431.88</v>
      </c>
      <c r="H39" s="6" t="s">
        <v>1213</v>
      </c>
      <c r="I39" s="6" t="s">
        <v>1214</v>
      </c>
      <c r="J39" s="6" t="s">
        <v>243</v>
      </c>
      <c r="K39" s="68">
        <f>Row_Data!$F39*Row_Data!$G39</f>
        <v>3431.88</v>
      </c>
      <c r="L39" s="69" t="str">
        <f>TEXT(Row_Data!$B39,"MMM "&amp;"YYY")</f>
        <v>Jan 2025</v>
      </c>
    </row>
    <row r="40" spans="1:12" x14ac:dyDescent="0.3">
      <c r="A40" s="6">
        <v>2488</v>
      </c>
      <c r="B40" s="64">
        <v>45682</v>
      </c>
      <c r="C40" s="6" t="s">
        <v>149</v>
      </c>
      <c r="D40" s="6" t="s">
        <v>1224</v>
      </c>
      <c r="E40" s="6" t="s">
        <v>1212</v>
      </c>
      <c r="F40" s="6">
        <v>5</v>
      </c>
      <c r="G40" s="65">
        <v>4898.26</v>
      </c>
      <c r="H40" s="6" t="s">
        <v>1213</v>
      </c>
      <c r="I40" s="6" t="s">
        <v>1214</v>
      </c>
      <c r="J40" s="6" t="s">
        <v>625</v>
      </c>
      <c r="K40" s="68">
        <f>Row_Data!$F40*Row_Data!$G40</f>
        <v>24491.300000000003</v>
      </c>
      <c r="L40" s="69" t="str">
        <f>TEXT(Row_Data!$B40,"MMM "&amp;"YYY")</f>
        <v>Jan 2025</v>
      </c>
    </row>
    <row r="41" spans="1:12" x14ac:dyDescent="0.3">
      <c r="A41" s="6">
        <v>4120</v>
      </c>
      <c r="B41" s="64">
        <v>45682</v>
      </c>
      <c r="C41" s="6" t="s">
        <v>151</v>
      </c>
      <c r="D41" s="6" t="s">
        <v>1219</v>
      </c>
      <c r="E41" s="6" t="s">
        <v>1226</v>
      </c>
      <c r="F41" s="6">
        <v>1</v>
      </c>
      <c r="G41" s="65">
        <v>4994.6499999999996</v>
      </c>
      <c r="H41" s="6" t="s">
        <v>1213</v>
      </c>
      <c r="I41" s="6" t="s">
        <v>1227</v>
      </c>
      <c r="J41" s="6" t="s">
        <v>235</v>
      </c>
      <c r="K41" s="68">
        <f>Row_Data!$F41*Row_Data!$G41</f>
        <v>4994.6499999999996</v>
      </c>
      <c r="L41" s="69" t="str">
        <f>TEXT(Row_Data!$B41,"MMM "&amp;"YYY")</f>
        <v>Jan 2025</v>
      </c>
    </row>
    <row r="42" spans="1:12" x14ac:dyDescent="0.3">
      <c r="A42" s="6">
        <v>1222</v>
      </c>
      <c r="B42" s="64">
        <v>45683</v>
      </c>
      <c r="C42" s="6" t="s">
        <v>153</v>
      </c>
      <c r="D42" s="6" t="s">
        <v>1215</v>
      </c>
      <c r="E42" s="6" t="s">
        <v>1221</v>
      </c>
      <c r="F42" s="6">
        <v>3</v>
      </c>
      <c r="G42" s="65">
        <v>499.22</v>
      </c>
      <c r="H42" s="6" t="s">
        <v>1213</v>
      </c>
      <c r="I42" s="6" t="s">
        <v>1227</v>
      </c>
      <c r="J42" s="6" t="s">
        <v>701</v>
      </c>
      <c r="K42" s="68">
        <f>Row_Data!$F42*Row_Data!$G42</f>
        <v>1497.66</v>
      </c>
      <c r="L42" s="69" t="str">
        <f>TEXT(Row_Data!$B42,"MMM "&amp;"YYY")</f>
        <v>Jan 2025</v>
      </c>
    </row>
    <row r="43" spans="1:12" x14ac:dyDescent="0.3">
      <c r="A43" s="6">
        <v>5431</v>
      </c>
      <c r="B43" s="64">
        <v>45684</v>
      </c>
      <c r="C43" s="6" t="s">
        <v>155</v>
      </c>
      <c r="D43" s="6" t="s">
        <v>1218</v>
      </c>
      <c r="E43" s="6" t="s">
        <v>1221</v>
      </c>
      <c r="F43" s="6">
        <v>3</v>
      </c>
      <c r="G43" s="65">
        <v>3687.96</v>
      </c>
      <c r="H43" s="6" t="s">
        <v>1213</v>
      </c>
      <c r="I43" s="6" t="s">
        <v>1217</v>
      </c>
      <c r="J43" s="6" t="s">
        <v>298</v>
      </c>
      <c r="K43" s="68">
        <f>Row_Data!$F43*Row_Data!$G43</f>
        <v>11063.880000000001</v>
      </c>
      <c r="L43" s="69" t="str">
        <f>TEXT(Row_Data!$B43,"MMM "&amp;"YYY")</f>
        <v>Jan 2025</v>
      </c>
    </row>
    <row r="44" spans="1:12" x14ac:dyDescent="0.3">
      <c r="A44" s="6">
        <v>1755</v>
      </c>
      <c r="B44" s="64">
        <v>45684</v>
      </c>
      <c r="C44" s="6" t="s">
        <v>157</v>
      </c>
      <c r="D44" s="6" t="s">
        <v>1224</v>
      </c>
      <c r="E44" s="6" t="s">
        <v>1221</v>
      </c>
      <c r="F44" s="6">
        <v>5</v>
      </c>
      <c r="G44" s="65">
        <v>598.79</v>
      </c>
      <c r="H44" s="6" t="s">
        <v>1216</v>
      </c>
      <c r="I44" s="6" t="s">
        <v>1217</v>
      </c>
      <c r="J44" s="6" t="s">
        <v>94</v>
      </c>
      <c r="K44" s="68">
        <f>Row_Data!$F44*Row_Data!$G44</f>
        <v>2993.95</v>
      </c>
      <c r="L44" s="69" t="str">
        <f>TEXT(Row_Data!$B44,"MMM "&amp;"YYY")</f>
        <v>Jan 2025</v>
      </c>
    </row>
    <row r="45" spans="1:12" x14ac:dyDescent="0.3">
      <c r="A45" s="6">
        <v>4630</v>
      </c>
      <c r="B45" s="64">
        <v>45685</v>
      </c>
      <c r="C45" s="6" t="s">
        <v>159</v>
      </c>
      <c r="D45" s="6" t="s">
        <v>1228</v>
      </c>
      <c r="E45" s="6" t="s">
        <v>1226</v>
      </c>
      <c r="F45" s="6">
        <v>3</v>
      </c>
      <c r="G45" s="65">
        <v>4633.21</v>
      </c>
      <c r="H45" s="6" t="s">
        <v>1216</v>
      </c>
      <c r="I45" s="6" t="s">
        <v>1217</v>
      </c>
      <c r="J45" s="6" t="s">
        <v>380</v>
      </c>
      <c r="K45" s="68">
        <f>Row_Data!$F45*Row_Data!$G45</f>
        <v>13899.630000000001</v>
      </c>
      <c r="L45" s="69" t="str">
        <f>TEXT(Row_Data!$B45,"MMM "&amp;"YYY")</f>
        <v>Jan 2025</v>
      </c>
    </row>
    <row r="46" spans="1:12" x14ac:dyDescent="0.3">
      <c r="A46" s="6">
        <v>4189</v>
      </c>
      <c r="B46" s="64">
        <v>45685</v>
      </c>
      <c r="C46" s="6" t="s">
        <v>161</v>
      </c>
      <c r="D46" s="6" t="s">
        <v>1228</v>
      </c>
      <c r="E46" s="6" t="s">
        <v>1221</v>
      </c>
      <c r="F46" s="6">
        <v>2</v>
      </c>
      <c r="G46" s="65">
        <v>4896.91</v>
      </c>
      <c r="H46" s="6" t="s">
        <v>1213</v>
      </c>
      <c r="I46" s="6" t="s">
        <v>1217</v>
      </c>
      <c r="J46" s="6" t="s">
        <v>382</v>
      </c>
      <c r="K46" s="68">
        <f>Row_Data!$F46*Row_Data!$G46</f>
        <v>9793.82</v>
      </c>
      <c r="L46" s="69" t="str">
        <f>TEXT(Row_Data!$B46,"MMM "&amp;"YYY")</f>
        <v>Jan 2025</v>
      </c>
    </row>
    <row r="47" spans="1:12" x14ac:dyDescent="0.3">
      <c r="A47" s="6">
        <v>5171</v>
      </c>
      <c r="B47" s="64">
        <v>45686</v>
      </c>
      <c r="C47" s="6" t="s">
        <v>163</v>
      </c>
      <c r="D47" s="6" t="s">
        <v>1228</v>
      </c>
      <c r="E47" s="6" t="s">
        <v>1212</v>
      </c>
      <c r="F47" s="6">
        <v>3</v>
      </c>
      <c r="G47" s="65">
        <v>3235.53</v>
      </c>
      <c r="H47" s="6" t="s">
        <v>1216</v>
      </c>
      <c r="I47" s="6" t="s">
        <v>1214</v>
      </c>
      <c r="J47" s="6" t="s">
        <v>436</v>
      </c>
      <c r="K47" s="68">
        <f>Row_Data!$F47*Row_Data!$G47</f>
        <v>9706.59</v>
      </c>
      <c r="L47" s="69" t="str">
        <f>TEXT(Row_Data!$B47,"MMM "&amp;"YYY")</f>
        <v>Jan 2025</v>
      </c>
    </row>
    <row r="48" spans="1:12" x14ac:dyDescent="0.3">
      <c r="A48" s="6">
        <v>8695</v>
      </c>
      <c r="B48" s="64">
        <v>45686</v>
      </c>
      <c r="C48" s="6" t="s">
        <v>165</v>
      </c>
      <c r="D48" s="6" t="s">
        <v>1224</v>
      </c>
      <c r="E48" s="6" t="s">
        <v>1221</v>
      </c>
      <c r="F48" s="6">
        <v>2</v>
      </c>
      <c r="G48" s="65">
        <v>3039.49</v>
      </c>
      <c r="H48" s="6" t="s">
        <v>1213</v>
      </c>
      <c r="I48" s="6" t="s">
        <v>1214</v>
      </c>
      <c r="J48" s="6" t="s">
        <v>444</v>
      </c>
      <c r="K48" s="68">
        <f>Row_Data!$F48*Row_Data!$G48</f>
        <v>6078.98</v>
      </c>
      <c r="L48" s="69" t="str">
        <f>TEXT(Row_Data!$B48,"MMM "&amp;"YYY")</f>
        <v>Jan 2025</v>
      </c>
    </row>
    <row r="49" spans="1:12" x14ac:dyDescent="0.3">
      <c r="A49" s="6">
        <v>4573</v>
      </c>
      <c r="B49" s="64">
        <v>45687</v>
      </c>
      <c r="C49" s="6" t="s">
        <v>167</v>
      </c>
      <c r="D49" s="6" t="s">
        <v>1211</v>
      </c>
      <c r="E49" s="6" t="s">
        <v>1212</v>
      </c>
      <c r="F49" s="6">
        <v>3</v>
      </c>
      <c r="G49" s="65">
        <v>2390.13</v>
      </c>
      <c r="H49" s="6" t="s">
        <v>1213</v>
      </c>
      <c r="I49" s="6" t="s">
        <v>1214</v>
      </c>
      <c r="J49" s="6" t="s">
        <v>164</v>
      </c>
      <c r="K49" s="68">
        <f>Row_Data!$F49*Row_Data!$G49</f>
        <v>7170.39</v>
      </c>
      <c r="L49" s="69" t="str">
        <f>TEXT(Row_Data!$B49,"MMM "&amp;"YYY")</f>
        <v>Jan 2025</v>
      </c>
    </row>
    <row r="50" spans="1:12" x14ac:dyDescent="0.3">
      <c r="A50" s="6">
        <v>2396</v>
      </c>
      <c r="B50" s="64">
        <v>45687</v>
      </c>
      <c r="C50" s="6" t="s">
        <v>169</v>
      </c>
      <c r="D50" s="6" t="s">
        <v>1229</v>
      </c>
      <c r="E50" s="6" t="s">
        <v>1226</v>
      </c>
      <c r="F50" s="6">
        <v>2</v>
      </c>
      <c r="G50" s="65">
        <v>2339.0500000000002</v>
      </c>
      <c r="H50" s="6" t="s">
        <v>1216</v>
      </c>
      <c r="I50" s="6" t="s">
        <v>1227</v>
      </c>
      <c r="J50" s="6" t="s">
        <v>627</v>
      </c>
      <c r="K50" s="68">
        <f>Row_Data!$F50*Row_Data!$G50</f>
        <v>4678.1000000000004</v>
      </c>
      <c r="L50" s="69" t="str">
        <f>TEXT(Row_Data!$B50,"MMM "&amp;"YYY")</f>
        <v>Jan 2025</v>
      </c>
    </row>
    <row r="51" spans="1:12" x14ac:dyDescent="0.3">
      <c r="A51" s="6">
        <v>3418</v>
      </c>
      <c r="B51" s="64">
        <v>45687</v>
      </c>
      <c r="C51" s="6" t="s">
        <v>171</v>
      </c>
      <c r="D51" s="6" t="s">
        <v>1215</v>
      </c>
      <c r="E51" s="6" t="s">
        <v>1226</v>
      </c>
      <c r="F51" s="6">
        <v>2</v>
      </c>
      <c r="G51" s="65">
        <v>2375.08</v>
      </c>
      <c r="H51" s="6" t="s">
        <v>1216</v>
      </c>
      <c r="I51" s="6" t="s">
        <v>1227</v>
      </c>
      <c r="J51" s="6" t="s">
        <v>553</v>
      </c>
      <c r="K51" s="68">
        <f>Row_Data!$F51*Row_Data!$G51</f>
        <v>4750.16</v>
      </c>
      <c r="L51" s="69" t="str">
        <f>TEXT(Row_Data!$B51,"MMM "&amp;"YYY")</f>
        <v>Jan 2025</v>
      </c>
    </row>
    <row r="52" spans="1:12" x14ac:dyDescent="0.3">
      <c r="A52" s="6">
        <v>8415</v>
      </c>
      <c r="B52" s="64">
        <v>45687</v>
      </c>
      <c r="C52" s="6" t="s">
        <v>173</v>
      </c>
      <c r="D52" s="6" t="s">
        <v>1225</v>
      </c>
      <c r="E52" s="6" t="s">
        <v>1212</v>
      </c>
      <c r="F52" s="6">
        <v>4</v>
      </c>
      <c r="G52" s="65">
        <v>2672.6</v>
      </c>
      <c r="H52" s="6" t="s">
        <v>1213</v>
      </c>
      <c r="I52" s="6" t="s">
        <v>1227</v>
      </c>
      <c r="J52" s="6" t="s">
        <v>542</v>
      </c>
      <c r="K52" s="68">
        <f>Row_Data!$F52*Row_Data!$G52</f>
        <v>10690.4</v>
      </c>
      <c r="L52" s="69" t="str">
        <f>TEXT(Row_Data!$B52,"MMM "&amp;"YYY")</f>
        <v>Jan 2025</v>
      </c>
    </row>
    <row r="53" spans="1:12" x14ac:dyDescent="0.3">
      <c r="A53" s="6">
        <v>5450</v>
      </c>
      <c r="B53" s="64">
        <v>45687</v>
      </c>
      <c r="C53" s="6" t="s">
        <v>175</v>
      </c>
      <c r="D53" s="6" t="s">
        <v>1225</v>
      </c>
      <c r="E53" s="6" t="s">
        <v>1212</v>
      </c>
      <c r="F53" s="6">
        <v>1</v>
      </c>
      <c r="G53" s="65">
        <v>2999.51</v>
      </c>
      <c r="H53" s="6" t="s">
        <v>1220</v>
      </c>
      <c r="I53" s="6" t="s">
        <v>1227</v>
      </c>
      <c r="J53" s="6" t="s">
        <v>607</v>
      </c>
      <c r="K53" s="68">
        <f>Row_Data!$F53*Row_Data!$G53</f>
        <v>2999.51</v>
      </c>
      <c r="L53" s="69" t="str">
        <f>TEXT(Row_Data!$B53,"MMM "&amp;"YYY")</f>
        <v>Jan 2025</v>
      </c>
    </row>
    <row r="54" spans="1:12" x14ac:dyDescent="0.3">
      <c r="A54" s="6">
        <v>6053</v>
      </c>
      <c r="B54" s="64">
        <v>45688</v>
      </c>
      <c r="C54" s="6" t="s">
        <v>177</v>
      </c>
      <c r="D54" s="6" t="s">
        <v>1219</v>
      </c>
      <c r="E54" s="6" t="s">
        <v>1226</v>
      </c>
      <c r="F54" s="6">
        <v>4</v>
      </c>
      <c r="G54" s="65">
        <v>2560.7399999999998</v>
      </c>
      <c r="H54" s="6" t="s">
        <v>1213</v>
      </c>
      <c r="I54" s="6" t="s">
        <v>1227</v>
      </c>
      <c r="J54" s="6" t="s">
        <v>214</v>
      </c>
      <c r="K54" s="68">
        <f>Row_Data!$F54*Row_Data!$G54</f>
        <v>10242.959999999999</v>
      </c>
      <c r="L54" s="69" t="str">
        <f>TEXT(Row_Data!$B54,"MMM "&amp;"YYY")</f>
        <v>Jan 2025</v>
      </c>
    </row>
    <row r="55" spans="1:12" x14ac:dyDescent="0.3">
      <c r="A55" s="6">
        <v>8350</v>
      </c>
      <c r="B55" s="64">
        <v>45688</v>
      </c>
      <c r="C55" s="6" t="s">
        <v>179</v>
      </c>
      <c r="D55" s="6" t="s">
        <v>1219</v>
      </c>
      <c r="E55" s="6" t="s">
        <v>1221</v>
      </c>
      <c r="F55" s="6">
        <v>4</v>
      </c>
      <c r="G55" s="65">
        <v>2263.9</v>
      </c>
      <c r="H55" s="6" t="s">
        <v>1216</v>
      </c>
      <c r="I55" s="6" t="s">
        <v>1227</v>
      </c>
      <c r="J55" s="6" t="s">
        <v>400</v>
      </c>
      <c r="K55" s="68">
        <f>Row_Data!$F55*Row_Data!$G55</f>
        <v>9055.6</v>
      </c>
      <c r="L55" s="69" t="str">
        <f>TEXT(Row_Data!$B55,"MMM "&amp;"YYY")</f>
        <v>Jan 2025</v>
      </c>
    </row>
    <row r="56" spans="1:12" hidden="1" x14ac:dyDescent="0.3">
      <c r="A56" s="6">
        <v>6010</v>
      </c>
      <c r="B56" s="64">
        <v>45689</v>
      </c>
      <c r="C56" s="6" t="s">
        <v>181</v>
      </c>
      <c r="D56" s="6" t="s">
        <v>1211</v>
      </c>
      <c r="E56" s="6" t="s">
        <v>1221</v>
      </c>
      <c r="F56" s="6">
        <v>3</v>
      </c>
      <c r="G56" s="65">
        <v>416.25</v>
      </c>
      <c r="H56" s="6" t="s">
        <v>1216</v>
      </c>
      <c r="I56" s="6" t="s">
        <v>1217</v>
      </c>
      <c r="J56" s="6" t="s">
        <v>92</v>
      </c>
      <c r="K56" s="68">
        <f>Row_Data!$F56*Row_Data!$G56</f>
        <v>1248.75</v>
      </c>
      <c r="L56" s="69" t="str">
        <f>TEXT(Row_Data!$B56,"MMM "&amp;"YYY")</f>
        <v>Feb 2025</v>
      </c>
    </row>
    <row r="57" spans="1:12" hidden="1" x14ac:dyDescent="0.3">
      <c r="A57" s="6">
        <v>2625</v>
      </c>
      <c r="B57" s="64">
        <v>45689</v>
      </c>
      <c r="C57" s="6" t="s">
        <v>183</v>
      </c>
      <c r="D57" s="6" t="s">
        <v>1224</v>
      </c>
      <c r="E57" s="6" t="s">
        <v>1212</v>
      </c>
      <c r="F57" s="6">
        <v>2</v>
      </c>
      <c r="G57" s="65">
        <v>2184.73</v>
      </c>
      <c r="H57" s="6" t="s">
        <v>1220</v>
      </c>
      <c r="I57" s="6" t="s">
        <v>1227</v>
      </c>
      <c r="J57" s="6" t="s">
        <v>474</v>
      </c>
      <c r="K57" s="68">
        <f>Row_Data!$F57*Row_Data!$G57</f>
        <v>4369.46</v>
      </c>
      <c r="L57" s="69" t="str">
        <f>TEXT(Row_Data!$B57,"MMM "&amp;"YYY")</f>
        <v>Feb 2025</v>
      </c>
    </row>
    <row r="58" spans="1:12" hidden="1" x14ac:dyDescent="0.3">
      <c r="A58" s="6">
        <v>7942</v>
      </c>
      <c r="B58" s="64">
        <v>45689</v>
      </c>
      <c r="C58" s="6" t="s">
        <v>185</v>
      </c>
      <c r="D58" s="6" t="s">
        <v>1222</v>
      </c>
      <c r="E58" s="6" t="s">
        <v>1221</v>
      </c>
      <c r="F58" s="6">
        <v>3</v>
      </c>
      <c r="G58" s="65">
        <v>4784.74</v>
      </c>
      <c r="H58" s="6" t="s">
        <v>1220</v>
      </c>
      <c r="I58" s="6" t="s">
        <v>1214</v>
      </c>
      <c r="J58" s="6" t="s">
        <v>647</v>
      </c>
      <c r="K58" s="68">
        <f>Row_Data!$F58*Row_Data!$G58</f>
        <v>14354.22</v>
      </c>
      <c r="L58" s="69" t="str">
        <f>TEXT(Row_Data!$B58,"MMM "&amp;"YYY")</f>
        <v>Feb 2025</v>
      </c>
    </row>
    <row r="59" spans="1:12" hidden="1" x14ac:dyDescent="0.3">
      <c r="A59" s="6">
        <v>1277</v>
      </c>
      <c r="B59" s="64">
        <v>45689</v>
      </c>
      <c r="C59" s="6" t="s">
        <v>187</v>
      </c>
      <c r="D59" s="6" t="s">
        <v>1229</v>
      </c>
      <c r="E59" s="6" t="s">
        <v>1221</v>
      </c>
      <c r="F59" s="6">
        <v>3</v>
      </c>
      <c r="G59" s="65">
        <v>3093.25</v>
      </c>
      <c r="H59" s="6" t="s">
        <v>1216</v>
      </c>
      <c r="I59" s="6" t="s">
        <v>1217</v>
      </c>
      <c r="J59" s="6" t="s">
        <v>192</v>
      </c>
      <c r="K59" s="68">
        <f>Row_Data!$F59*Row_Data!$G59</f>
        <v>9279.75</v>
      </c>
      <c r="L59" s="69" t="str">
        <f>TEXT(Row_Data!$B59,"MMM "&amp;"YYY")</f>
        <v>Feb 2025</v>
      </c>
    </row>
    <row r="60" spans="1:12" hidden="1" x14ac:dyDescent="0.3">
      <c r="A60" s="6">
        <v>7020</v>
      </c>
      <c r="B60" s="64">
        <v>45690</v>
      </c>
      <c r="C60" s="6" t="s">
        <v>189</v>
      </c>
      <c r="D60" s="6" t="s">
        <v>1223</v>
      </c>
      <c r="E60" s="6" t="s">
        <v>1226</v>
      </c>
      <c r="F60" s="6">
        <v>2</v>
      </c>
      <c r="G60" s="65">
        <v>4170.5200000000004</v>
      </c>
      <c r="H60" s="6" t="s">
        <v>1220</v>
      </c>
      <c r="I60" s="6" t="s">
        <v>1214</v>
      </c>
      <c r="J60" s="6" t="s">
        <v>275</v>
      </c>
      <c r="K60" s="68">
        <f>Row_Data!$F60*Row_Data!$G60</f>
        <v>8341.0400000000009</v>
      </c>
      <c r="L60" s="69" t="str">
        <f>TEXT(Row_Data!$B60,"MMM "&amp;"YYY")</f>
        <v>Feb 2025</v>
      </c>
    </row>
    <row r="61" spans="1:12" hidden="1" x14ac:dyDescent="0.3">
      <c r="A61" s="6">
        <v>5569</v>
      </c>
      <c r="B61" s="64">
        <v>45691</v>
      </c>
      <c r="C61" s="6" t="s">
        <v>191</v>
      </c>
      <c r="D61" s="6" t="s">
        <v>1211</v>
      </c>
      <c r="E61" s="6" t="s">
        <v>1226</v>
      </c>
      <c r="F61" s="6">
        <v>4</v>
      </c>
      <c r="G61" s="65">
        <v>3540.59</v>
      </c>
      <c r="H61" s="6" t="s">
        <v>1216</v>
      </c>
      <c r="I61" s="6" t="s">
        <v>1214</v>
      </c>
      <c r="J61" s="6" t="s">
        <v>675</v>
      </c>
      <c r="K61" s="68">
        <f>Row_Data!$F61*Row_Data!$G61</f>
        <v>14162.36</v>
      </c>
      <c r="L61" s="69" t="str">
        <f>TEXT(Row_Data!$B61,"MMM "&amp;"YYY")</f>
        <v>Feb 2025</v>
      </c>
    </row>
    <row r="62" spans="1:12" hidden="1" x14ac:dyDescent="0.3">
      <c r="A62" s="6">
        <v>5381</v>
      </c>
      <c r="B62" s="64">
        <v>45693</v>
      </c>
      <c r="C62" s="6" t="s">
        <v>193</v>
      </c>
      <c r="D62" s="6" t="s">
        <v>1225</v>
      </c>
      <c r="E62" s="6" t="s">
        <v>1226</v>
      </c>
      <c r="F62" s="6">
        <v>1</v>
      </c>
      <c r="G62" s="65">
        <v>4754.7700000000004</v>
      </c>
      <c r="H62" s="6" t="s">
        <v>1213</v>
      </c>
      <c r="I62" s="6" t="s">
        <v>1227</v>
      </c>
      <c r="J62" s="6" t="s">
        <v>170</v>
      </c>
      <c r="K62" s="68">
        <f>Row_Data!$F62*Row_Data!$G62</f>
        <v>4754.7700000000004</v>
      </c>
      <c r="L62" s="69" t="str">
        <f>TEXT(Row_Data!$B62,"MMM "&amp;"YYY")</f>
        <v>Feb 2025</v>
      </c>
    </row>
    <row r="63" spans="1:12" hidden="1" x14ac:dyDescent="0.3">
      <c r="A63" s="6">
        <v>6623</v>
      </c>
      <c r="B63" s="64">
        <v>45694</v>
      </c>
      <c r="C63" s="6" t="s">
        <v>195</v>
      </c>
      <c r="D63" s="6" t="s">
        <v>1222</v>
      </c>
      <c r="E63" s="6" t="s">
        <v>1221</v>
      </c>
      <c r="F63" s="6">
        <v>4</v>
      </c>
      <c r="G63" s="65">
        <v>4504.32</v>
      </c>
      <c r="H63" s="6" t="s">
        <v>1213</v>
      </c>
      <c r="I63" s="6" t="s">
        <v>1217</v>
      </c>
      <c r="J63" s="6" t="s">
        <v>84</v>
      </c>
      <c r="K63" s="68">
        <f>Row_Data!$F63*Row_Data!$G63</f>
        <v>18017.28</v>
      </c>
      <c r="L63" s="69" t="str">
        <f>TEXT(Row_Data!$B63,"MMM "&amp;"YYY")</f>
        <v>Feb 2025</v>
      </c>
    </row>
    <row r="64" spans="1:12" hidden="1" x14ac:dyDescent="0.3">
      <c r="A64" s="6">
        <v>4998</v>
      </c>
      <c r="B64" s="64">
        <v>45694</v>
      </c>
      <c r="C64" s="6" t="s">
        <v>197</v>
      </c>
      <c r="D64" s="6" t="s">
        <v>1218</v>
      </c>
      <c r="E64" s="6" t="s">
        <v>1212</v>
      </c>
      <c r="F64" s="6">
        <v>2</v>
      </c>
      <c r="G64" s="65">
        <v>774.94</v>
      </c>
      <c r="H64" s="6" t="s">
        <v>1220</v>
      </c>
      <c r="I64" s="6" t="s">
        <v>1217</v>
      </c>
      <c r="J64" s="6" t="s">
        <v>370</v>
      </c>
      <c r="K64" s="68">
        <f>Row_Data!$F64*Row_Data!$G64</f>
        <v>1549.88</v>
      </c>
      <c r="L64" s="69" t="str">
        <f>TEXT(Row_Data!$B64,"MMM "&amp;"YYY")</f>
        <v>Feb 2025</v>
      </c>
    </row>
    <row r="65" spans="1:12" hidden="1" x14ac:dyDescent="0.3">
      <c r="A65" s="6">
        <v>1457</v>
      </c>
      <c r="B65" s="64">
        <v>45695</v>
      </c>
      <c r="C65" s="6" t="s">
        <v>199</v>
      </c>
      <c r="D65" s="6" t="s">
        <v>1211</v>
      </c>
      <c r="E65" s="6" t="s">
        <v>1221</v>
      </c>
      <c r="F65" s="6">
        <v>3</v>
      </c>
      <c r="G65" s="65">
        <v>984.41</v>
      </c>
      <c r="H65" s="6" t="s">
        <v>1216</v>
      </c>
      <c r="I65" s="6" t="s">
        <v>1214</v>
      </c>
      <c r="J65" s="6" t="s">
        <v>392</v>
      </c>
      <c r="K65" s="68">
        <f>Row_Data!$F65*Row_Data!$G65</f>
        <v>2953.23</v>
      </c>
      <c r="L65" s="69" t="str">
        <f>TEXT(Row_Data!$B65,"MMM "&amp;"YYY")</f>
        <v>Feb 2025</v>
      </c>
    </row>
    <row r="66" spans="1:12" hidden="1" x14ac:dyDescent="0.3">
      <c r="A66" s="6">
        <v>7522</v>
      </c>
      <c r="B66" s="64">
        <v>45696</v>
      </c>
      <c r="C66" s="6" t="s">
        <v>201</v>
      </c>
      <c r="D66" s="6" t="s">
        <v>1229</v>
      </c>
      <c r="E66" s="6" t="s">
        <v>1226</v>
      </c>
      <c r="F66" s="6">
        <v>4</v>
      </c>
      <c r="G66" s="65">
        <v>4102.9399999999996</v>
      </c>
      <c r="H66" s="6" t="s">
        <v>1213</v>
      </c>
      <c r="I66" s="6" t="s">
        <v>1214</v>
      </c>
      <c r="J66" s="6" t="s">
        <v>229</v>
      </c>
      <c r="K66" s="68">
        <f>Row_Data!$F66*Row_Data!$G66</f>
        <v>16411.759999999998</v>
      </c>
      <c r="L66" s="69" t="str">
        <f>TEXT(Row_Data!$B66,"MMM "&amp;"YYY")</f>
        <v>Feb 2025</v>
      </c>
    </row>
    <row r="67" spans="1:12" hidden="1" x14ac:dyDescent="0.3">
      <c r="A67" s="6">
        <v>4861</v>
      </c>
      <c r="B67" s="64">
        <v>45697</v>
      </c>
      <c r="C67" s="6" t="s">
        <v>203</v>
      </c>
      <c r="D67" s="6" t="s">
        <v>1211</v>
      </c>
      <c r="E67" s="6" t="s">
        <v>1212</v>
      </c>
      <c r="F67" s="6">
        <v>1</v>
      </c>
      <c r="G67" s="65">
        <v>4651.71</v>
      </c>
      <c r="H67" s="6" t="s">
        <v>1220</v>
      </c>
      <c r="I67" s="6" t="s">
        <v>1227</v>
      </c>
      <c r="J67" s="6" t="s">
        <v>559</v>
      </c>
      <c r="K67" s="68">
        <f>Row_Data!$F67*Row_Data!$G67</f>
        <v>4651.71</v>
      </c>
      <c r="L67" s="69" t="str">
        <f>TEXT(Row_Data!$B67,"MMM "&amp;"YYY")</f>
        <v>Feb 2025</v>
      </c>
    </row>
    <row r="68" spans="1:12" hidden="1" x14ac:dyDescent="0.3">
      <c r="A68" s="6">
        <v>8802</v>
      </c>
      <c r="B68" s="64">
        <v>45697</v>
      </c>
      <c r="C68" s="6" t="s">
        <v>205</v>
      </c>
      <c r="D68" s="6" t="s">
        <v>1228</v>
      </c>
      <c r="E68" s="6" t="s">
        <v>1221</v>
      </c>
      <c r="F68" s="6">
        <v>3</v>
      </c>
      <c r="G68" s="65">
        <v>3766.2</v>
      </c>
      <c r="H68" s="6" t="s">
        <v>1213</v>
      </c>
      <c r="I68" s="6" t="s">
        <v>1227</v>
      </c>
      <c r="J68" s="6" t="s">
        <v>561</v>
      </c>
      <c r="K68" s="68">
        <f>Row_Data!$F68*Row_Data!$G68</f>
        <v>11298.599999999999</v>
      </c>
      <c r="L68" s="69" t="str">
        <f>TEXT(Row_Data!$B68,"MMM "&amp;"YYY")</f>
        <v>Feb 2025</v>
      </c>
    </row>
    <row r="69" spans="1:12" hidden="1" x14ac:dyDescent="0.3">
      <c r="A69" s="6">
        <v>2892</v>
      </c>
      <c r="B69" s="64">
        <v>45697</v>
      </c>
      <c r="C69" s="6" t="s">
        <v>207</v>
      </c>
      <c r="D69" s="6" t="s">
        <v>1222</v>
      </c>
      <c r="E69" s="6" t="s">
        <v>1212</v>
      </c>
      <c r="F69" s="6">
        <v>3</v>
      </c>
      <c r="G69" s="65">
        <v>4656.28</v>
      </c>
      <c r="H69" s="6" t="s">
        <v>1220</v>
      </c>
      <c r="I69" s="6" t="s">
        <v>1214</v>
      </c>
      <c r="J69" s="6" t="s">
        <v>591</v>
      </c>
      <c r="K69" s="68">
        <f>Row_Data!$F69*Row_Data!$G69</f>
        <v>13968.84</v>
      </c>
      <c r="L69" s="69" t="str">
        <f>TEXT(Row_Data!$B69,"MMM "&amp;"YYY")</f>
        <v>Feb 2025</v>
      </c>
    </row>
    <row r="70" spans="1:12" hidden="1" x14ac:dyDescent="0.3">
      <c r="A70" s="6">
        <v>6300</v>
      </c>
      <c r="B70" s="64">
        <v>45698</v>
      </c>
      <c r="C70" s="6" t="s">
        <v>209</v>
      </c>
      <c r="D70" s="6" t="s">
        <v>1224</v>
      </c>
      <c r="E70" s="6" t="s">
        <v>1221</v>
      </c>
      <c r="F70" s="6">
        <v>1</v>
      </c>
      <c r="G70" s="65">
        <v>3817.68</v>
      </c>
      <c r="H70" s="6" t="s">
        <v>1213</v>
      </c>
      <c r="I70" s="6" t="s">
        <v>1214</v>
      </c>
      <c r="J70" s="6" t="s">
        <v>639</v>
      </c>
      <c r="K70" s="68">
        <f>Row_Data!$F70*Row_Data!$G70</f>
        <v>3817.68</v>
      </c>
      <c r="L70" s="69" t="str">
        <f>TEXT(Row_Data!$B70,"MMM "&amp;"YYY")</f>
        <v>Feb 2025</v>
      </c>
    </row>
    <row r="71" spans="1:12" hidden="1" x14ac:dyDescent="0.3">
      <c r="A71" s="6">
        <v>4684</v>
      </c>
      <c r="B71" s="64">
        <v>45698</v>
      </c>
      <c r="C71" s="6" t="s">
        <v>211</v>
      </c>
      <c r="D71" s="6" t="s">
        <v>1215</v>
      </c>
      <c r="E71" s="6" t="s">
        <v>1221</v>
      </c>
      <c r="F71" s="6">
        <v>4</v>
      </c>
      <c r="G71" s="65">
        <v>2371.88</v>
      </c>
      <c r="H71" s="6" t="s">
        <v>1213</v>
      </c>
      <c r="I71" s="6" t="s">
        <v>1217</v>
      </c>
      <c r="J71" s="6" t="s">
        <v>300</v>
      </c>
      <c r="K71" s="68">
        <f>Row_Data!$F71*Row_Data!$G71</f>
        <v>9487.52</v>
      </c>
      <c r="L71" s="69" t="str">
        <f>TEXT(Row_Data!$B71,"MMM "&amp;"YYY")</f>
        <v>Feb 2025</v>
      </c>
    </row>
    <row r="72" spans="1:12" hidden="1" x14ac:dyDescent="0.3">
      <c r="A72" s="6">
        <v>8698</v>
      </c>
      <c r="B72" s="64">
        <v>45698</v>
      </c>
      <c r="C72" s="6" t="s">
        <v>213</v>
      </c>
      <c r="D72" s="6" t="s">
        <v>1223</v>
      </c>
      <c r="E72" s="6" t="s">
        <v>1226</v>
      </c>
      <c r="F72" s="6">
        <v>3</v>
      </c>
      <c r="G72" s="65">
        <v>359.65</v>
      </c>
      <c r="H72" s="6" t="s">
        <v>1216</v>
      </c>
      <c r="I72" s="6" t="s">
        <v>1227</v>
      </c>
      <c r="J72" s="6" t="s">
        <v>661</v>
      </c>
      <c r="K72" s="68">
        <f>Row_Data!$F72*Row_Data!$G72</f>
        <v>1078.9499999999998</v>
      </c>
      <c r="L72" s="69" t="str">
        <f>TEXT(Row_Data!$B72,"MMM "&amp;"YYY")</f>
        <v>Feb 2025</v>
      </c>
    </row>
    <row r="73" spans="1:12" hidden="1" x14ac:dyDescent="0.3">
      <c r="A73" s="6">
        <v>7271</v>
      </c>
      <c r="B73" s="64">
        <v>45698</v>
      </c>
      <c r="C73" s="6" t="s">
        <v>215</v>
      </c>
      <c r="D73" s="6" t="s">
        <v>1218</v>
      </c>
      <c r="E73" s="6" t="s">
        <v>1221</v>
      </c>
      <c r="F73" s="6">
        <v>5</v>
      </c>
      <c r="G73" s="65">
        <v>3659.57</v>
      </c>
      <c r="H73" s="6" t="s">
        <v>1213</v>
      </c>
      <c r="I73" s="6" t="s">
        <v>1217</v>
      </c>
      <c r="J73" s="6" t="s">
        <v>540</v>
      </c>
      <c r="K73" s="68">
        <f>Row_Data!$F73*Row_Data!$G73</f>
        <v>18297.850000000002</v>
      </c>
      <c r="L73" s="69" t="str">
        <f>TEXT(Row_Data!$B73,"MMM "&amp;"YYY")</f>
        <v>Feb 2025</v>
      </c>
    </row>
    <row r="74" spans="1:12" hidden="1" x14ac:dyDescent="0.3">
      <c r="A74" s="6">
        <v>9351</v>
      </c>
      <c r="B74" s="64">
        <v>45698</v>
      </c>
      <c r="C74" s="6" t="s">
        <v>217</v>
      </c>
      <c r="D74" s="6" t="s">
        <v>1218</v>
      </c>
      <c r="E74" s="6" t="s">
        <v>1221</v>
      </c>
      <c r="F74" s="6">
        <v>1</v>
      </c>
      <c r="G74" s="65">
        <v>4653.99</v>
      </c>
      <c r="H74" s="6" t="s">
        <v>1213</v>
      </c>
      <c r="I74" s="6" t="s">
        <v>1214</v>
      </c>
      <c r="J74" s="6" t="s">
        <v>484</v>
      </c>
      <c r="K74" s="68">
        <f>Row_Data!$F74*Row_Data!$G74</f>
        <v>4653.99</v>
      </c>
      <c r="L74" s="69" t="str">
        <f>TEXT(Row_Data!$B74,"MMM "&amp;"YYY")</f>
        <v>Feb 2025</v>
      </c>
    </row>
    <row r="75" spans="1:12" hidden="1" x14ac:dyDescent="0.3">
      <c r="A75" s="6">
        <v>6415</v>
      </c>
      <c r="B75" s="64">
        <v>45699</v>
      </c>
      <c r="C75" s="6" t="s">
        <v>219</v>
      </c>
      <c r="D75" s="6" t="s">
        <v>1223</v>
      </c>
      <c r="E75" s="6" t="s">
        <v>1221</v>
      </c>
      <c r="F75" s="6">
        <v>2</v>
      </c>
      <c r="G75" s="65">
        <v>2168.88</v>
      </c>
      <c r="H75" s="6" t="s">
        <v>1213</v>
      </c>
      <c r="I75" s="6" t="s">
        <v>1214</v>
      </c>
      <c r="J75" s="6" t="s">
        <v>404</v>
      </c>
      <c r="K75" s="68">
        <f>Row_Data!$F75*Row_Data!$G75</f>
        <v>4337.76</v>
      </c>
      <c r="L75" s="69" t="str">
        <f>TEXT(Row_Data!$B75,"MMM "&amp;"YYY")</f>
        <v>Feb 2025</v>
      </c>
    </row>
    <row r="76" spans="1:12" hidden="1" x14ac:dyDescent="0.3">
      <c r="A76" s="6">
        <v>4750</v>
      </c>
      <c r="B76" s="64">
        <v>45700</v>
      </c>
      <c r="C76" s="6" t="s">
        <v>221</v>
      </c>
      <c r="D76" s="6" t="s">
        <v>1223</v>
      </c>
      <c r="E76" s="6" t="s">
        <v>1221</v>
      </c>
      <c r="F76" s="6">
        <v>5</v>
      </c>
      <c r="G76" s="65">
        <v>4220.3599999999997</v>
      </c>
      <c r="H76" s="6" t="s">
        <v>1213</v>
      </c>
      <c r="I76" s="6" t="s">
        <v>1214</v>
      </c>
      <c r="J76" s="6" t="s">
        <v>257</v>
      </c>
      <c r="K76" s="68">
        <f>Row_Data!$F76*Row_Data!$G76</f>
        <v>21101.8</v>
      </c>
      <c r="L76" s="69" t="str">
        <f>TEXT(Row_Data!$B76,"MMM "&amp;"YYY")</f>
        <v>Feb 2025</v>
      </c>
    </row>
    <row r="77" spans="1:12" hidden="1" x14ac:dyDescent="0.3">
      <c r="A77" s="6">
        <v>1373</v>
      </c>
      <c r="B77" s="64">
        <v>45700</v>
      </c>
      <c r="C77" s="6" t="s">
        <v>223</v>
      </c>
      <c r="D77" s="6" t="s">
        <v>1223</v>
      </c>
      <c r="E77" s="6" t="s">
        <v>1221</v>
      </c>
      <c r="F77" s="6">
        <v>2</v>
      </c>
      <c r="G77" s="65">
        <v>4911.09</v>
      </c>
      <c r="H77" s="6" t="s">
        <v>1216</v>
      </c>
      <c r="I77" s="6" t="s">
        <v>1214</v>
      </c>
      <c r="J77" s="6" t="s">
        <v>581</v>
      </c>
      <c r="K77" s="68">
        <f>Row_Data!$F77*Row_Data!$G77</f>
        <v>9822.18</v>
      </c>
      <c r="L77" s="69" t="str">
        <f>TEXT(Row_Data!$B77,"MMM "&amp;"YYY")</f>
        <v>Feb 2025</v>
      </c>
    </row>
    <row r="78" spans="1:12" hidden="1" x14ac:dyDescent="0.3">
      <c r="A78" s="6">
        <v>5104</v>
      </c>
      <c r="B78" s="64">
        <v>45700</v>
      </c>
      <c r="C78" s="6" t="s">
        <v>224</v>
      </c>
      <c r="D78" s="6" t="s">
        <v>1229</v>
      </c>
      <c r="E78" s="6" t="s">
        <v>1221</v>
      </c>
      <c r="F78" s="6">
        <v>2</v>
      </c>
      <c r="G78" s="65">
        <v>3104.78</v>
      </c>
      <c r="H78" s="6" t="s">
        <v>1220</v>
      </c>
      <c r="I78" s="6" t="s">
        <v>1217</v>
      </c>
      <c r="J78" s="6" t="s">
        <v>522</v>
      </c>
      <c r="K78" s="68">
        <f>Row_Data!$F78*Row_Data!$G78</f>
        <v>6209.56</v>
      </c>
      <c r="L78" s="69" t="str">
        <f>TEXT(Row_Data!$B78,"MMM "&amp;"YYY")</f>
        <v>Feb 2025</v>
      </c>
    </row>
    <row r="79" spans="1:12" hidden="1" x14ac:dyDescent="0.3">
      <c r="A79" s="6">
        <v>7462</v>
      </c>
      <c r="B79" s="64">
        <v>45700</v>
      </c>
      <c r="C79" s="6" t="s">
        <v>226</v>
      </c>
      <c r="D79" s="6" t="s">
        <v>1223</v>
      </c>
      <c r="E79" s="6" t="s">
        <v>1226</v>
      </c>
      <c r="F79" s="6">
        <v>3</v>
      </c>
      <c r="G79" s="65">
        <v>751.97</v>
      </c>
      <c r="H79" s="6" t="s">
        <v>1220</v>
      </c>
      <c r="I79" s="6" t="s">
        <v>1214</v>
      </c>
      <c r="J79" s="6" t="s">
        <v>681</v>
      </c>
      <c r="K79" s="68">
        <f>Row_Data!$F79*Row_Data!$G79</f>
        <v>2255.91</v>
      </c>
      <c r="L79" s="69" t="str">
        <f>TEXT(Row_Data!$B79,"MMM "&amp;"YYY")</f>
        <v>Feb 2025</v>
      </c>
    </row>
    <row r="80" spans="1:12" hidden="1" x14ac:dyDescent="0.3">
      <c r="A80" s="6">
        <v>2019</v>
      </c>
      <c r="B80" s="64">
        <v>45701</v>
      </c>
      <c r="C80" s="6" t="s">
        <v>228</v>
      </c>
      <c r="D80" s="6" t="s">
        <v>1219</v>
      </c>
      <c r="E80" s="6" t="s">
        <v>1226</v>
      </c>
      <c r="F80" s="6">
        <v>2</v>
      </c>
      <c r="G80" s="65">
        <v>3746.03</v>
      </c>
      <c r="H80" s="6" t="s">
        <v>1213</v>
      </c>
      <c r="I80" s="6" t="s">
        <v>1217</v>
      </c>
      <c r="J80" s="6" t="s">
        <v>418</v>
      </c>
      <c r="K80" s="68">
        <f>Row_Data!$F80*Row_Data!$G80</f>
        <v>7492.06</v>
      </c>
      <c r="L80" s="69" t="str">
        <f>TEXT(Row_Data!$B80,"MMM "&amp;"YYY")</f>
        <v>Feb 2025</v>
      </c>
    </row>
    <row r="81" spans="1:12" hidden="1" x14ac:dyDescent="0.3">
      <c r="A81" s="6">
        <v>5228</v>
      </c>
      <c r="B81" s="64">
        <v>45703</v>
      </c>
      <c r="C81" s="6" t="s">
        <v>230</v>
      </c>
      <c r="D81" s="6" t="s">
        <v>1225</v>
      </c>
      <c r="E81" s="6" t="s">
        <v>1212</v>
      </c>
      <c r="F81" s="6">
        <v>1</v>
      </c>
      <c r="G81" s="65">
        <v>4213.66</v>
      </c>
      <c r="H81" s="6" t="s">
        <v>1213</v>
      </c>
      <c r="I81" s="6" t="s">
        <v>1217</v>
      </c>
      <c r="J81" s="6" t="s">
        <v>496</v>
      </c>
      <c r="K81" s="68">
        <f>Row_Data!$F81*Row_Data!$G81</f>
        <v>4213.66</v>
      </c>
      <c r="L81" s="69" t="str">
        <f>TEXT(Row_Data!$B81,"MMM "&amp;"YYY")</f>
        <v>Feb 2025</v>
      </c>
    </row>
    <row r="82" spans="1:12" hidden="1" x14ac:dyDescent="0.3">
      <c r="A82" s="6">
        <v>8624</v>
      </c>
      <c r="B82" s="64">
        <v>45703</v>
      </c>
      <c r="C82" s="6" t="s">
        <v>232</v>
      </c>
      <c r="D82" s="6" t="s">
        <v>1222</v>
      </c>
      <c r="E82" s="6" t="s">
        <v>1221</v>
      </c>
      <c r="F82" s="6">
        <v>2</v>
      </c>
      <c r="G82" s="65">
        <v>1095.1199999999999</v>
      </c>
      <c r="H82" s="6" t="s">
        <v>1213</v>
      </c>
      <c r="I82" s="6" t="s">
        <v>1217</v>
      </c>
      <c r="J82" s="6" t="s">
        <v>569</v>
      </c>
      <c r="K82" s="68">
        <f>Row_Data!$F82*Row_Data!$G82</f>
        <v>2190.2399999999998</v>
      </c>
      <c r="L82" s="69" t="str">
        <f>TEXT(Row_Data!$B82,"MMM "&amp;"YYY")</f>
        <v>Feb 2025</v>
      </c>
    </row>
    <row r="83" spans="1:12" hidden="1" x14ac:dyDescent="0.3">
      <c r="A83" s="6">
        <v>9246</v>
      </c>
      <c r="B83" s="64">
        <v>45703</v>
      </c>
      <c r="C83" s="6" t="s">
        <v>234</v>
      </c>
      <c r="D83" s="6" t="s">
        <v>1215</v>
      </c>
      <c r="E83" s="6" t="s">
        <v>1221</v>
      </c>
      <c r="F83" s="6">
        <v>1</v>
      </c>
      <c r="G83" s="65">
        <v>1374.09</v>
      </c>
      <c r="H83" s="6" t="s">
        <v>1220</v>
      </c>
      <c r="I83" s="6" t="s">
        <v>1217</v>
      </c>
      <c r="J83" s="6" t="s">
        <v>498</v>
      </c>
      <c r="K83" s="68">
        <f>Row_Data!$F83*Row_Data!$G83</f>
        <v>1374.09</v>
      </c>
      <c r="L83" s="69" t="str">
        <f>TEXT(Row_Data!$B83,"MMM "&amp;"YYY")</f>
        <v>Feb 2025</v>
      </c>
    </row>
    <row r="84" spans="1:12" hidden="1" x14ac:dyDescent="0.3">
      <c r="A84" s="6">
        <v>6653</v>
      </c>
      <c r="B84" s="64">
        <v>45703</v>
      </c>
      <c r="C84" s="6" t="s">
        <v>236</v>
      </c>
      <c r="D84" s="6" t="s">
        <v>1211</v>
      </c>
      <c r="E84" s="6" t="s">
        <v>1221</v>
      </c>
      <c r="F84" s="6">
        <v>4</v>
      </c>
      <c r="G84" s="65">
        <v>3577.3</v>
      </c>
      <c r="H84" s="6" t="s">
        <v>1216</v>
      </c>
      <c r="I84" s="6" t="s">
        <v>1217</v>
      </c>
      <c r="J84" s="6" t="s">
        <v>90</v>
      </c>
      <c r="K84" s="68">
        <f>Row_Data!$F84*Row_Data!$G84</f>
        <v>14309.2</v>
      </c>
      <c r="L84" s="69" t="str">
        <f>TEXT(Row_Data!$B84,"MMM "&amp;"YYY")</f>
        <v>Feb 2025</v>
      </c>
    </row>
    <row r="85" spans="1:12" hidden="1" x14ac:dyDescent="0.3">
      <c r="A85" s="6">
        <v>9459</v>
      </c>
      <c r="B85" s="64">
        <v>45703</v>
      </c>
      <c r="C85" s="6" t="s">
        <v>238</v>
      </c>
      <c r="D85" s="6" t="s">
        <v>1211</v>
      </c>
      <c r="E85" s="6" t="s">
        <v>1226</v>
      </c>
      <c r="F85" s="6">
        <v>4</v>
      </c>
      <c r="G85" s="65">
        <v>4027.79</v>
      </c>
      <c r="H85" s="6" t="s">
        <v>1216</v>
      </c>
      <c r="I85" s="6" t="s">
        <v>1217</v>
      </c>
      <c r="J85" s="6" t="s">
        <v>442</v>
      </c>
      <c r="K85" s="68">
        <f>Row_Data!$F85*Row_Data!$G85</f>
        <v>16111.16</v>
      </c>
      <c r="L85" s="69" t="str">
        <f>TEXT(Row_Data!$B85,"MMM "&amp;"YYY")</f>
        <v>Feb 2025</v>
      </c>
    </row>
    <row r="86" spans="1:12" hidden="1" x14ac:dyDescent="0.3">
      <c r="A86" s="6">
        <v>9334</v>
      </c>
      <c r="B86" s="64">
        <v>45703</v>
      </c>
      <c r="C86" s="6" t="s">
        <v>240</v>
      </c>
      <c r="D86" s="6" t="s">
        <v>1224</v>
      </c>
      <c r="E86" s="6" t="s">
        <v>1226</v>
      </c>
      <c r="F86" s="6">
        <v>3</v>
      </c>
      <c r="G86" s="65">
        <v>3276.39</v>
      </c>
      <c r="H86" s="6" t="s">
        <v>1213</v>
      </c>
      <c r="I86" s="6" t="s">
        <v>1214</v>
      </c>
      <c r="J86" s="6" t="s">
        <v>188</v>
      </c>
      <c r="K86" s="68">
        <f>Row_Data!$F86*Row_Data!$G86</f>
        <v>9829.17</v>
      </c>
      <c r="L86" s="69" t="str">
        <f>TEXT(Row_Data!$B86,"MMM "&amp;"YYY")</f>
        <v>Feb 2025</v>
      </c>
    </row>
    <row r="87" spans="1:12" hidden="1" x14ac:dyDescent="0.3">
      <c r="A87" s="6">
        <v>8036</v>
      </c>
      <c r="B87" s="64">
        <v>45704</v>
      </c>
      <c r="C87" s="6" t="s">
        <v>242</v>
      </c>
      <c r="D87" s="6" t="s">
        <v>1222</v>
      </c>
      <c r="E87" s="6" t="s">
        <v>1226</v>
      </c>
      <c r="F87" s="6">
        <v>5</v>
      </c>
      <c r="G87" s="65">
        <v>4466.75</v>
      </c>
      <c r="H87" s="6" t="s">
        <v>1216</v>
      </c>
      <c r="I87" s="6" t="s">
        <v>1214</v>
      </c>
      <c r="J87" s="6" t="s">
        <v>679</v>
      </c>
      <c r="K87" s="68">
        <f>Row_Data!$F87*Row_Data!$G87</f>
        <v>22333.75</v>
      </c>
      <c r="L87" s="69" t="str">
        <f>TEXT(Row_Data!$B87,"MMM "&amp;"YYY")</f>
        <v>Feb 2025</v>
      </c>
    </row>
    <row r="88" spans="1:12" hidden="1" x14ac:dyDescent="0.3">
      <c r="A88" s="6">
        <v>8152</v>
      </c>
      <c r="B88" s="64">
        <v>45706</v>
      </c>
      <c r="C88" s="6" t="s">
        <v>244</v>
      </c>
      <c r="D88" s="6" t="s">
        <v>1219</v>
      </c>
      <c r="E88" s="6" t="s">
        <v>1226</v>
      </c>
      <c r="F88" s="6">
        <v>5</v>
      </c>
      <c r="G88" s="65">
        <v>1669.03</v>
      </c>
      <c r="H88" s="6" t="s">
        <v>1220</v>
      </c>
      <c r="I88" s="6" t="s">
        <v>1217</v>
      </c>
      <c r="J88" s="6" t="s">
        <v>623</v>
      </c>
      <c r="K88" s="68">
        <f>Row_Data!$F88*Row_Data!$G88</f>
        <v>8345.15</v>
      </c>
      <c r="L88" s="69" t="str">
        <f>TEXT(Row_Data!$B88,"MMM "&amp;"YYY")</f>
        <v>Feb 2025</v>
      </c>
    </row>
    <row r="89" spans="1:12" hidden="1" x14ac:dyDescent="0.3">
      <c r="A89" s="6">
        <v>6873</v>
      </c>
      <c r="B89" s="64">
        <v>45706</v>
      </c>
      <c r="C89" s="6" t="s">
        <v>246</v>
      </c>
      <c r="D89" s="6" t="s">
        <v>1224</v>
      </c>
      <c r="E89" s="6" t="s">
        <v>1221</v>
      </c>
      <c r="F89" s="6">
        <v>4</v>
      </c>
      <c r="G89" s="65">
        <v>3473.61</v>
      </c>
      <c r="H89" s="6" t="s">
        <v>1213</v>
      </c>
      <c r="I89" s="6" t="s">
        <v>1227</v>
      </c>
      <c r="J89" s="6" t="s">
        <v>346</v>
      </c>
      <c r="K89" s="68">
        <f>Row_Data!$F89*Row_Data!$G89</f>
        <v>13894.44</v>
      </c>
      <c r="L89" s="69" t="str">
        <f>TEXT(Row_Data!$B89,"MMM "&amp;"YYY")</f>
        <v>Feb 2025</v>
      </c>
    </row>
    <row r="90" spans="1:12" hidden="1" x14ac:dyDescent="0.3">
      <c r="A90" s="6">
        <v>2009</v>
      </c>
      <c r="B90" s="64">
        <v>45707</v>
      </c>
      <c r="C90" s="6" t="s">
        <v>248</v>
      </c>
      <c r="D90" s="6" t="s">
        <v>1223</v>
      </c>
      <c r="E90" s="6" t="s">
        <v>1226</v>
      </c>
      <c r="F90" s="6">
        <v>4</v>
      </c>
      <c r="G90" s="65">
        <v>4033.73</v>
      </c>
      <c r="H90" s="6" t="s">
        <v>1216</v>
      </c>
      <c r="I90" s="6" t="s">
        <v>1214</v>
      </c>
      <c r="J90" s="6" t="s">
        <v>368</v>
      </c>
      <c r="K90" s="68">
        <f>Row_Data!$F90*Row_Data!$G90</f>
        <v>16134.92</v>
      </c>
      <c r="L90" s="69" t="str">
        <f>TEXT(Row_Data!$B90,"MMM "&amp;"YYY")</f>
        <v>Feb 2025</v>
      </c>
    </row>
    <row r="91" spans="1:12" hidden="1" x14ac:dyDescent="0.3">
      <c r="A91" s="6">
        <v>4898</v>
      </c>
      <c r="B91" s="64">
        <v>45707</v>
      </c>
      <c r="C91" s="6" t="s">
        <v>250</v>
      </c>
      <c r="D91" s="6" t="s">
        <v>1224</v>
      </c>
      <c r="E91" s="6" t="s">
        <v>1226</v>
      </c>
      <c r="F91" s="6">
        <v>4</v>
      </c>
      <c r="G91" s="65">
        <v>4564.8100000000004</v>
      </c>
      <c r="H91" s="6" t="s">
        <v>1220</v>
      </c>
      <c r="I91" s="6" t="s">
        <v>1227</v>
      </c>
      <c r="J91" s="6" t="s">
        <v>426</v>
      </c>
      <c r="K91" s="68">
        <f>Row_Data!$F91*Row_Data!$G91</f>
        <v>18259.240000000002</v>
      </c>
      <c r="L91" s="69" t="str">
        <f>TEXT(Row_Data!$B91,"MMM "&amp;"YYY")</f>
        <v>Feb 2025</v>
      </c>
    </row>
    <row r="92" spans="1:12" hidden="1" x14ac:dyDescent="0.3">
      <c r="A92" s="6">
        <v>1206</v>
      </c>
      <c r="B92" s="64">
        <v>45707</v>
      </c>
      <c r="C92" s="6" t="s">
        <v>252</v>
      </c>
      <c r="D92" s="6" t="s">
        <v>1211</v>
      </c>
      <c r="E92" s="6" t="s">
        <v>1212</v>
      </c>
      <c r="F92" s="6">
        <v>2</v>
      </c>
      <c r="G92" s="65">
        <v>2636.05</v>
      </c>
      <c r="H92" s="6" t="s">
        <v>1216</v>
      </c>
      <c r="I92" s="6" t="s">
        <v>1214</v>
      </c>
      <c r="J92" s="6" t="s">
        <v>245</v>
      </c>
      <c r="K92" s="68">
        <f>Row_Data!$F92*Row_Data!$G92</f>
        <v>5272.1</v>
      </c>
      <c r="L92" s="69" t="str">
        <f>TEXT(Row_Data!$B92,"MMM "&amp;"YYY")</f>
        <v>Feb 2025</v>
      </c>
    </row>
    <row r="93" spans="1:12" hidden="1" x14ac:dyDescent="0.3">
      <c r="A93" s="6">
        <v>2430</v>
      </c>
      <c r="B93" s="64">
        <v>45707</v>
      </c>
      <c r="C93" s="6" t="s">
        <v>254</v>
      </c>
      <c r="D93" s="6" t="s">
        <v>1223</v>
      </c>
      <c r="E93" s="6" t="s">
        <v>1221</v>
      </c>
      <c r="F93" s="6">
        <v>5</v>
      </c>
      <c r="G93" s="65">
        <v>1350.36</v>
      </c>
      <c r="H93" s="6" t="s">
        <v>1220</v>
      </c>
      <c r="I93" s="6" t="s">
        <v>1217</v>
      </c>
      <c r="J93" s="6" t="s">
        <v>396</v>
      </c>
      <c r="K93" s="68">
        <f>Row_Data!$F93*Row_Data!$G93</f>
        <v>6751.7999999999993</v>
      </c>
      <c r="L93" s="69" t="str">
        <f>TEXT(Row_Data!$B93,"MMM "&amp;"YYY")</f>
        <v>Feb 2025</v>
      </c>
    </row>
    <row r="94" spans="1:12" hidden="1" x14ac:dyDescent="0.3">
      <c r="A94" s="6">
        <v>4837</v>
      </c>
      <c r="B94" s="64">
        <v>45708</v>
      </c>
      <c r="C94" s="6" t="s">
        <v>256</v>
      </c>
      <c r="D94" s="6" t="s">
        <v>1219</v>
      </c>
      <c r="E94" s="6" t="s">
        <v>1221</v>
      </c>
      <c r="F94" s="6">
        <v>5</v>
      </c>
      <c r="G94" s="65">
        <v>1766.15</v>
      </c>
      <c r="H94" s="6" t="s">
        <v>1220</v>
      </c>
      <c r="I94" s="6" t="s">
        <v>1214</v>
      </c>
      <c r="J94" s="6" t="s">
        <v>150</v>
      </c>
      <c r="K94" s="68">
        <f>Row_Data!$F94*Row_Data!$G94</f>
        <v>8830.75</v>
      </c>
      <c r="L94" s="69" t="str">
        <f>TEXT(Row_Data!$B94,"MMM "&amp;"YYY")</f>
        <v>Feb 2025</v>
      </c>
    </row>
    <row r="95" spans="1:12" hidden="1" x14ac:dyDescent="0.3">
      <c r="A95" s="6">
        <v>7523</v>
      </c>
      <c r="B95" s="64">
        <v>45709</v>
      </c>
      <c r="C95" s="6" t="s">
        <v>258</v>
      </c>
      <c r="D95" s="6" t="s">
        <v>1215</v>
      </c>
      <c r="E95" s="6" t="s">
        <v>1226</v>
      </c>
      <c r="F95" s="6">
        <v>3</v>
      </c>
      <c r="G95" s="65">
        <v>4474.8100000000004</v>
      </c>
      <c r="H95" s="6" t="s">
        <v>1216</v>
      </c>
      <c r="I95" s="6" t="s">
        <v>1227</v>
      </c>
      <c r="J95" s="6" t="s">
        <v>338</v>
      </c>
      <c r="K95" s="68">
        <f>Row_Data!$F95*Row_Data!$G95</f>
        <v>13424.43</v>
      </c>
      <c r="L95" s="69" t="str">
        <f>TEXT(Row_Data!$B95,"MMM "&amp;"YYY")</f>
        <v>Feb 2025</v>
      </c>
    </row>
    <row r="96" spans="1:12" hidden="1" x14ac:dyDescent="0.3">
      <c r="A96" s="6">
        <v>2705</v>
      </c>
      <c r="B96" s="64">
        <v>45710</v>
      </c>
      <c r="C96" s="6" t="s">
        <v>260</v>
      </c>
      <c r="D96" s="6" t="s">
        <v>1228</v>
      </c>
      <c r="E96" s="6" t="s">
        <v>1212</v>
      </c>
      <c r="F96" s="6">
        <v>5</v>
      </c>
      <c r="G96" s="65">
        <v>585.04999999999995</v>
      </c>
      <c r="H96" s="6" t="s">
        <v>1213</v>
      </c>
      <c r="I96" s="6" t="s">
        <v>1217</v>
      </c>
      <c r="J96" s="6" t="s">
        <v>462</v>
      </c>
      <c r="K96" s="68">
        <f>Row_Data!$F96*Row_Data!$G96</f>
        <v>2925.25</v>
      </c>
      <c r="L96" s="69" t="str">
        <f>TEXT(Row_Data!$B96,"MMM "&amp;"YYY")</f>
        <v>Feb 2025</v>
      </c>
    </row>
    <row r="97" spans="1:12" hidden="1" x14ac:dyDescent="0.3">
      <c r="A97" s="6">
        <v>6204</v>
      </c>
      <c r="B97" s="64">
        <v>45710</v>
      </c>
      <c r="C97" s="6" t="s">
        <v>262</v>
      </c>
      <c r="D97" s="6" t="s">
        <v>1225</v>
      </c>
      <c r="E97" s="6" t="s">
        <v>1212</v>
      </c>
      <c r="F97" s="6">
        <v>5</v>
      </c>
      <c r="G97" s="65">
        <v>450.86</v>
      </c>
      <c r="H97" s="6" t="s">
        <v>1213</v>
      </c>
      <c r="I97" s="6" t="s">
        <v>1214</v>
      </c>
      <c r="J97" s="6" t="s">
        <v>162</v>
      </c>
      <c r="K97" s="68">
        <f>Row_Data!$F97*Row_Data!$G97</f>
        <v>2254.3000000000002</v>
      </c>
      <c r="L97" s="69" t="str">
        <f>TEXT(Row_Data!$B97,"MMM "&amp;"YYY")</f>
        <v>Feb 2025</v>
      </c>
    </row>
    <row r="98" spans="1:12" hidden="1" x14ac:dyDescent="0.3">
      <c r="A98" s="6">
        <v>2124</v>
      </c>
      <c r="B98" s="64">
        <v>45710</v>
      </c>
      <c r="C98" s="6" t="s">
        <v>264</v>
      </c>
      <c r="D98" s="6" t="s">
        <v>1223</v>
      </c>
      <c r="E98" s="6" t="s">
        <v>1212</v>
      </c>
      <c r="F98" s="6">
        <v>5</v>
      </c>
      <c r="G98" s="65">
        <v>328.95</v>
      </c>
      <c r="H98" s="6" t="s">
        <v>1213</v>
      </c>
      <c r="I98" s="6" t="s">
        <v>1227</v>
      </c>
      <c r="J98" s="6" t="s">
        <v>267</v>
      </c>
      <c r="K98" s="68">
        <f>Row_Data!$F98*Row_Data!$G98</f>
        <v>1644.75</v>
      </c>
      <c r="L98" s="69" t="str">
        <f>TEXT(Row_Data!$B98,"MMM "&amp;"YYY")</f>
        <v>Feb 2025</v>
      </c>
    </row>
    <row r="99" spans="1:12" hidden="1" x14ac:dyDescent="0.3">
      <c r="A99" s="6">
        <v>4674</v>
      </c>
      <c r="B99" s="64">
        <v>45711</v>
      </c>
      <c r="C99" s="6" t="s">
        <v>266</v>
      </c>
      <c r="D99" s="6" t="s">
        <v>1223</v>
      </c>
      <c r="E99" s="6" t="s">
        <v>1212</v>
      </c>
      <c r="F99" s="6">
        <v>1</v>
      </c>
      <c r="G99" s="65">
        <v>1262.27</v>
      </c>
      <c r="H99" s="6" t="s">
        <v>1213</v>
      </c>
      <c r="I99" s="6" t="s">
        <v>1214</v>
      </c>
      <c r="J99" s="6" t="s">
        <v>538</v>
      </c>
      <c r="K99" s="68">
        <f>Row_Data!$F99*Row_Data!$G99</f>
        <v>1262.27</v>
      </c>
      <c r="L99" s="69" t="str">
        <f>TEXT(Row_Data!$B99,"MMM "&amp;"YYY")</f>
        <v>Feb 2025</v>
      </c>
    </row>
    <row r="100" spans="1:12" hidden="1" x14ac:dyDescent="0.3">
      <c r="A100" s="6">
        <v>5937</v>
      </c>
      <c r="B100" s="64">
        <v>45712</v>
      </c>
      <c r="C100" s="6" t="s">
        <v>268</v>
      </c>
      <c r="D100" s="6" t="s">
        <v>1223</v>
      </c>
      <c r="E100" s="6" t="s">
        <v>1226</v>
      </c>
      <c r="F100" s="6">
        <v>4</v>
      </c>
      <c r="G100" s="65">
        <v>1644.2</v>
      </c>
      <c r="H100" s="6" t="s">
        <v>1216</v>
      </c>
      <c r="I100" s="6" t="s">
        <v>1227</v>
      </c>
      <c r="J100" s="6" t="s">
        <v>579</v>
      </c>
      <c r="K100" s="68">
        <f>Row_Data!$F100*Row_Data!$G100</f>
        <v>6576.8</v>
      </c>
      <c r="L100" s="69" t="str">
        <f>TEXT(Row_Data!$B100,"MMM "&amp;"YYY")</f>
        <v>Feb 2025</v>
      </c>
    </row>
    <row r="101" spans="1:12" hidden="1" x14ac:dyDescent="0.3">
      <c r="A101" s="6">
        <v>1235</v>
      </c>
      <c r="B101" s="64">
        <v>45712</v>
      </c>
      <c r="C101" s="6" t="s">
        <v>270</v>
      </c>
      <c r="D101" s="6" t="s">
        <v>1229</v>
      </c>
      <c r="E101" s="6" t="s">
        <v>1221</v>
      </c>
      <c r="F101" s="6">
        <v>2</v>
      </c>
      <c r="G101" s="65">
        <v>3087.39</v>
      </c>
      <c r="H101" s="6" t="s">
        <v>1220</v>
      </c>
      <c r="I101" s="6" t="s">
        <v>1227</v>
      </c>
      <c r="J101" s="6" t="s">
        <v>328</v>
      </c>
      <c r="K101" s="68">
        <f>Row_Data!$F101*Row_Data!$G101</f>
        <v>6174.78</v>
      </c>
      <c r="L101" s="69" t="str">
        <f>TEXT(Row_Data!$B101,"MMM "&amp;"YYY")</f>
        <v>Feb 2025</v>
      </c>
    </row>
    <row r="102" spans="1:12" hidden="1" x14ac:dyDescent="0.3">
      <c r="A102" s="6">
        <v>3839</v>
      </c>
      <c r="B102" s="64">
        <v>45712</v>
      </c>
      <c r="C102" s="6" t="s">
        <v>272</v>
      </c>
      <c r="D102" s="6" t="s">
        <v>1218</v>
      </c>
      <c r="E102" s="6" t="s">
        <v>1226</v>
      </c>
      <c r="F102" s="6">
        <v>3</v>
      </c>
      <c r="G102" s="65">
        <v>2752.08</v>
      </c>
      <c r="H102" s="6" t="s">
        <v>1216</v>
      </c>
      <c r="I102" s="6" t="s">
        <v>1214</v>
      </c>
      <c r="J102" s="6" t="s">
        <v>180</v>
      </c>
      <c r="K102" s="68">
        <f>Row_Data!$F102*Row_Data!$G102</f>
        <v>8256.24</v>
      </c>
      <c r="L102" s="69" t="str">
        <f>TEXT(Row_Data!$B102,"MMM "&amp;"YYY")</f>
        <v>Feb 2025</v>
      </c>
    </row>
    <row r="103" spans="1:12" hidden="1" x14ac:dyDescent="0.3">
      <c r="A103" s="6">
        <v>6661</v>
      </c>
      <c r="B103" s="64">
        <v>45713</v>
      </c>
      <c r="C103" s="6" t="s">
        <v>274</v>
      </c>
      <c r="D103" s="6" t="s">
        <v>1228</v>
      </c>
      <c r="E103" s="6" t="s">
        <v>1212</v>
      </c>
      <c r="F103" s="6">
        <v>4</v>
      </c>
      <c r="G103" s="65">
        <v>730.88</v>
      </c>
      <c r="H103" s="6" t="s">
        <v>1213</v>
      </c>
      <c r="I103" s="6" t="s">
        <v>1217</v>
      </c>
      <c r="J103" s="6" t="s">
        <v>428</v>
      </c>
      <c r="K103" s="68">
        <f>Row_Data!$F103*Row_Data!$G103</f>
        <v>2923.52</v>
      </c>
      <c r="L103" s="69" t="str">
        <f>TEXT(Row_Data!$B103,"MMM "&amp;"YYY")</f>
        <v>Feb 2025</v>
      </c>
    </row>
    <row r="104" spans="1:12" hidden="1" x14ac:dyDescent="0.3">
      <c r="A104" s="6">
        <v>6899</v>
      </c>
      <c r="B104" s="64">
        <v>45713</v>
      </c>
      <c r="C104" s="6" t="s">
        <v>276</v>
      </c>
      <c r="D104" s="6" t="s">
        <v>1219</v>
      </c>
      <c r="E104" s="6" t="s">
        <v>1221</v>
      </c>
      <c r="F104" s="6">
        <v>1</v>
      </c>
      <c r="G104" s="65">
        <v>134.6</v>
      </c>
      <c r="H104" s="6" t="s">
        <v>1216</v>
      </c>
      <c r="I104" s="6" t="s">
        <v>1227</v>
      </c>
      <c r="J104" s="6" t="s">
        <v>490</v>
      </c>
      <c r="K104" s="68">
        <f>Row_Data!$F104*Row_Data!$G104</f>
        <v>134.6</v>
      </c>
      <c r="L104" s="69" t="str">
        <f>TEXT(Row_Data!$B104,"MMM "&amp;"YYY")</f>
        <v>Feb 2025</v>
      </c>
    </row>
    <row r="105" spans="1:12" hidden="1" x14ac:dyDescent="0.3">
      <c r="A105" s="6">
        <v>9263</v>
      </c>
      <c r="B105" s="64">
        <v>45713</v>
      </c>
      <c r="C105" s="6" t="s">
        <v>278</v>
      </c>
      <c r="D105" s="6" t="s">
        <v>1222</v>
      </c>
      <c r="E105" s="6" t="s">
        <v>1221</v>
      </c>
      <c r="F105" s="6">
        <v>2</v>
      </c>
      <c r="G105" s="65">
        <v>444.59</v>
      </c>
      <c r="H105" s="6" t="s">
        <v>1213</v>
      </c>
      <c r="I105" s="6" t="s">
        <v>1227</v>
      </c>
      <c r="J105" s="6" t="s">
        <v>466</v>
      </c>
      <c r="K105" s="68">
        <f>Row_Data!$F105*Row_Data!$G105</f>
        <v>889.18</v>
      </c>
      <c r="L105" s="69" t="str">
        <f>TEXT(Row_Data!$B105,"MMM "&amp;"YYY")</f>
        <v>Feb 2025</v>
      </c>
    </row>
    <row r="106" spans="1:12" hidden="1" x14ac:dyDescent="0.3">
      <c r="A106" s="6">
        <v>2844</v>
      </c>
      <c r="B106" s="64">
        <v>45714</v>
      </c>
      <c r="C106" s="6" t="s">
        <v>280</v>
      </c>
      <c r="D106" s="6" t="s">
        <v>1223</v>
      </c>
      <c r="E106" s="6" t="s">
        <v>1226</v>
      </c>
      <c r="F106" s="6">
        <v>1</v>
      </c>
      <c r="G106" s="65">
        <v>1389.97</v>
      </c>
      <c r="H106" s="6" t="s">
        <v>1216</v>
      </c>
      <c r="I106" s="6" t="s">
        <v>1217</v>
      </c>
      <c r="J106" s="6" t="s">
        <v>98</v>
      </c>
      <c r="K106" s="68">
        <f>Row_Data!$F106*Row_Data!$G106</f>
        <v>1389.97</v>
      </c>
      <c r="L106" s="69" t="str">
        <f>TEXT(Row_Data!$B106,"MMM "&amp;"YYY")</f>
        <v>Feb 2025</v>
      </c>
    </row>
    <row r="107" spans="1:12" hidden="1" x14ac:dyDescent="0.3">
      <c r="A107" s="6">
        <v>9591</v>
      </c>
      <c r="B107" s="64">
        <v>45715</v>
      </c>
      <c r="C107" s="6" t="s">
        <v>282</v>
      </c>
      <c r="D107" s="6" t="s">
        <v>1224</v>
      </c>
      <c r="E107" s="6" t="s">
        <v>1221</v>
      </c>
      <c r="F107" s="6">
        <v>3</v>
      </c>
      <c r="G107" s="65">
        <v>1101.5899999999999</v>
      </c>
      <c r="H107" s="6" t="s">
        <v>1216</v>
      </c>
      <c r="I107" s="6" t="s">
        <v>1227</v>
      </c>
      <c r="J107" s="6" t="s">
        <v>645</v>
      </c>
      <c r="K107" s="68">
        <f>Row_Data!$F107*Row_Data!$G107</f>
        <v>3304.7699999999995</v>
      </c>
      <c r="L107" s="69" t="str">
        <f>TEXT(Row_Data!$B107,"MMM "&amp;"YYY")</f>
        <v>Feb 2025</v>
      </c>
    </row>
    <row r="108" spans="1:12" hidden="1" x14ac:dyDescent="0.3">
      <c r="A108" s="6">
        <v>3844</v>
      </c>
      <c r="B108" s="64">
        <v>45715</v>
      </c>
      <c r="C108" s="6" t="s">
        <v>284</v>
      </c>
      <c r="D108" s="6" t="s">
        <v>1223</v>
      </c>
      <c r="E108" s="6" t="s">
        <v>1226</v>
      </c>
      <c r="F108" s="6">
        <v>5</v>
      </c>
      <c r="G108" s="65">
        <v>2409.4899999999998</v>
      </c>
      <c r="H108" s="6" t="s">
        <v>1213</v>
      </c>
      <c r="I108" s="6" t="s">
        <v>1214</v>
      </c>
      <c r="J108" s="6" t="s">
        <v>557</v>
      </c>
      <c r="K108" s="68">
        <f>Row_Data!$F108*Row_Data!$G108</f>
        <v>12047.449999999999</v>
      </c>
      <c r="L108" s="69" t="str">
        <f>TEXT(Row_Data!$B108,"MMM "&amp;"YYY")</f>
        <v>Feb 2025</v>
      </c>
    </row>
    <row r="109" spans="1:12" hidden="1" x14ac:dyDescent="0.3">
      <c r="A109" s="6">
        <v>7076</v>
      </c>
      <c r="B109" s="64">
        <v>45716</v>
      </c>
      <c r="C109" s="6" t="s">
        <v>286</v>
      </c>
      <c r="D109" s="6" t="s">
        <v>1225</v>
      </c>
      <c r="E109" s="6" t="s">
        <v>1226</v>
      </c>
      <c r="F109" s="6">
        <v>3</v>
      </c>
      <c r="G109" s="65">
        <v>2603.3200000000002</v>
      </c>
      <c r="H109" s="6" t="s">
        <v>1220</v>
      </c>
      <c r="I109" s="6" t="s">
        <v>1227</v>
      </c>
      <c r="J109" s="6" t="s">
        <v>621</v>
      </c>
      <c r="K109" s="68">
        <f>Row_Data!$F109*Row_Data!$G109</f>
        <v>7809.9600000000009</v>
      </c>
      <c r="L109" s="69" t="str">
        <f>TEXT(Row_Data!$B109,"MMM "&amp;"YYY")</f>
        <v>Feb 2025</v>
      </c>
    </row>
    <row r="110" spans="1:12" hidden="1" x14ac:dyDescent="0.3">
      <c r="A110" s="6">
        <v>9384</v>
      </c>
      <c r="B110" s="64">
        <v>45716</v>
      </c>
      <c r="C110" s="6" t="s">
        <v>287</v>
      </c>
      <c r="D110" s="6" t="s">
        <v>1225</v>
      </c>
      <c r="E110" s="6" t="s">
        <v>1212</v>
      </c>
      <c r="F110" s="6">
        <v>4</v>
      </c>
      <c r="G110" s="65">
        <v>3412.31</v>
      </c>
      <c r="H110" s="6" t="s">
        <v>1220</v>
      </c>
      <c r="I110" s="6" t="s">
        <v>1214</v>
      </c>
      <c r="J110" s="6" t="s">
        <v>144</v>
      </c>
      <c r="K110" s="68">
        <f>Row_Data!$F110*Row_Data!$G110</f>
        <v>13649.24</v>
      </c>
      <c r="L110" s="69" t="str">
        <f>TEXT(Row_Data!$B110,"MMM "&amp;"YYY")</f>
        <v>Feb 2025</v>
      </c>
    </row>
    <row r="111" spans="1:12" hidden="1" x14ac:dyDescent="0.3">
      <c r="A111" s="6">
        <v>4100</v>
      </c>
      <c r="B111" s="64">
        <v>45717</v>
      </c>
      <c r="C111" s="6" t="s">
        <v>289</v>
      </c>
      <c r="D111" s="6" t="s">
        <v>1225</v>
      </c>
      <c r="E111" s="6" t="s">
        <v>1212</v>
      </c>
      <c r="F111" s="6">
        <v>2</v>
      </c>
      <c r="G111" s="65">
        <v>2938.9</v>
      </c>
      <c r="H111" s="6" t="s">
        <v>1220</v>
      </c>
      <c r="I111" s="6" t="s">
        <v>1214</v>
      </c>
      <c r="J111" s="6" t="s">
        <v>643</v>
      </c>
      <c r="K111" s="68">
        <f>Row_Data!$F111*Row_Data!$G111</f>
        <v>5877.8</v>
      </c>
      <c r="L111" s="69" t="str">
        <f>TEXT(Row_Data!$B111,"MMM "&amp;"YYY")</f>
        <v>Mar 2025</v>
      </c>
    </row>
    <row r="112" spans="1:12" hidden="1" x14ac:dyDescent="0.3">
      <c r="A112" s="6">
        <v>4893</v>
      </c>
      <c r="B112" s="64">
        <v>45717</v>
      </c>
      <c r="C112" s="6" t="s">
        <v>291</v>
      </c>
      <c r="D112" s="6" t="s">
        <v>1218</v>
      </c>
      <c r="E112" s="6" t="s">
        <v>1212</v>
      </c>
      <c r="F112" s="6">
        <v>2</v>
      </c>
      <c r="G112" s="65">
        <v>3165.39</v>
      </c>
      <c r="H112" s="6" t="s">
        <v>1213</v>
      </c>
      <c r="I112" s="6" t="s">
        <v>1217</v>
      </c>
      <c r="J112" s="6" t="s">
        <v>74</v>
      </c>
      <c r="K112" s="68">
        <f>Row_Data!$F112*Row_Data!$G112</f>
        <v>6330.78</v>
      </c>
      <c r="L112" s="69" t="str">
        <f>TEXT(Row_Data!$B112,"MMM "&amp;"YYY")</f>
        <v>Mar 2025</v>
      </c>
    </row>
    <row r="113" spans="1:12" hidden="1" x14ac:dyDescent="0.3">
      <c r="A113" s="6">
        <v>3781</v>
      </c>
      <c r="B113" s="64">
        <v>45718</v>
      </c>
      <c r="C113" s="6" t="s">
        <v>293</v>
      </c>
      <c r="D113" s="6" t="s">
        <v>1225</v>
      </c>
      <c r="E113" s="6" t="s">
        <v>1226</v>
      </c>
      <c r="F113" s="6">
        <v>3</v>
      </c>
      <c r="G113" s="65">
        <v>860.15</v>
      </c>
      <c r="H113" s="6" t="s">
        <v>1216</v>
      </c>
      <c r="I113" s="6" t="s">
        <v>1214</v>
      </c>
      <c r="J113" s="6" t="s">
        <v>196</v>
      </c>
      <c r="K113" s="68">
        <f>Row_Data!$F113*Row_Data!$G113</f>
        <v>2580.4499999999998</v>
      </c>
      <c r="L113" s="69" t="str">
        <f>TEXT(Row_Data!$B113,"MMM "&amp;"YYY")</f>
        <v>Mar 2025</v>
      </c>
    </row>
    <row r="114" spans="1:12" hidden="1" x14ac:dyDescent="0.3">
      <c r="A114" s="6">
        <v>4517</v>
      </c>
      <c r="B114" s="64">
        <v>45718</v>
      </c>
      <c r="C114" s="6" t="s">
        <v>295</v>
      </c>
      <c r="D114" s="6" t="s">
        <v>1225</v>
      </c>
      <c r="E114" s="6" t="s">
        <v>1212</v>
      </c>
      <c r="F114" s="6">
        <v>4</v>
      </c>
      <c r="G114" s="65">
        <v>4403.3599999999997</v>
      </c>
      <c r="H114" s="6" t="s">
        <v>1216</v>
      </c>
      <c r="I114" s="6" t="s">
        <v>1217</v>
      </c>
      <c r="J114" s="6" t="s">
        <v>571</v>
      </c>
      <c r="K114" s="68">
        <f>Row_Data!$F114*Row_Data!$G114</f>
        <v>17613.439999999999</v>
      </c>
      <c r="L114" s="69" t="str">
        <f>TEXT(Row_Data!$B114,"MMM "&amp;"YYY")</f>
        <v>Mar 2025</v>
      </c>
    </row>
    <row r="115" spans="1:12" hidden="1" x14ac:dyDescent="0.3">
      <c r="A115" s="6">
        <v>3222</v>
      </c>
      <c r="B115" s="64">
        <v>45719</v>
      </c>
      <c r="C115" s="6" t="s">
        <v>297</v>
      </c>
      <c r="D115" s="6" t="s">
        <v>1211</v>
      </c>
      <c r="E115" s="6" t="s">
        <v>1212</v>
      </c>
      <c r="F115" s="6">
        <v>1</v>
      </c>
      <c r="G115" s="65">
        <v>1713.36</v>
      </c>
      <c r="H115" s="6" t="s">
        <v>1216</v>
      </c>
      <c r="I115" s="6" t="s">
        <v>1217</v>
      </c>
      <c r="J115" s="6" t="s">
        <v>310</v>
      </c>
      <c r="K115" s="68">
        <f>Row_Data!$F115*Row_Data!$G115</f>
        <v>1713.36</v>
      </c>
      <c r="L115" s="69" t="str">
        <f>TEXT(Row_Data!$B115,"MMM "&amp;"YYY")</f>
        <v>Mar 2025</v>
      </c>
    </row>
    <row r="116" spans="1:12" hidden="1" x14ac:dyDescent="0.3">
      <c r="A116" s="6">
        <v>9838</v>
      </c>
      <c r="B116" s="64">
        <v>45720</v>
      </c>
      <c r="C116" s="6" t="s">
        <v>299</v>
      </c>
      <c r="D116" s="6" t="s">
        <v>1218</v>
      </c>
      <c r="E116" s="6" t="s">
        <v>1212</v>
      </c>
      <c r="F116" s="6">
        <v>3</v>
      </c>
      <c r="G116" s="65">
        <v>1604.3</v>
      </c>
      <c r="H116" s="6" t="s">
        <v>1213</v>
      </c>
      <c r="I116" s="6" t="s">
        <v>1227</v>
      </c>
      <c r="J116" s="6" t="s">
        <v>88</v>
      </c>
      <c r="K116" s="68">
        <f>Row_Data!$F116*Row_Data!$G116</f>
        <v>4812.8999999999996</v>
      </c>
      <c r="L116" s="69" t="str">
        <f>TEXT(Row_Data!$B116,"MMM "&amp;"YYY")</f>
        <v>Mar 2025</v>
      </c>
    </row>
    <row r="117" spans="1:12" hidden="1" x14ac:dyDescent="0.3">
      <c r="A117" s="6">
        <v>3304</v>
      </c>
      <c r="B117" s="64">
        <v>45721</v>
      </c>
      <c r="C117" s="6" t="s">
        <v>301</v>
      </c>
      <c r="D117" s="6" t="s">
        <v>1215</v>
      </c>
      <c r="E117" s="6" t="s">
        <v>1226</v>
      </c>
      <c r="F117" s="6">
        <v>2</v>
      </c>
      <c r="G117" s="65">
        <v>4125.55</v>
      </c>
      <c r="H117" s="6" t="s">
        <v>1220</v>
      </c>
      <c r="I117" s="6" t="s">
        <v>1227</v>
      </c>
      <c r="J117" s="6" t="s">
        <v>563</v>
      </c>
      <c r="K117" s="68">
        <f>Row_Data!$F117*Row_Data!$G117</f>
        <v>8251.1</v>
      </c>
      <c r="L117" s="69" t="str">
        <f>TEXT(Row_Data!$B117,"MMM "&amp;"YYY")</f>
        <v>Mar 2025</v>
      </c>
    </row>
    <row r="118" spans="1:12" hidden="1" x14ac:dyDescent="0.3">
      <c r="A118" s="6">
        <v>2874</v>
      </c>
      <c r="B118" s="64">
        <v>45721</v>
      </c>
      <c r="C118" s="6" t="s">
        <v>303</v>
      </c>
      <c r="D118" s="6" t="s">
        <v>1224</v>
      </c>
      <c r="E118" s="6" t="s">
        <v>1226</v>
      </c>
      <c r="F118" s="6">
        <v>1</v>
      </c>
      <c r="G118" s="65">
        <v>3491.86</v>
      </c>
      <c r="H118" s="6" t="s">
        <v>1220</v>
      </c>
      <c r="I118" s="6" t="s">
        <v>1227</v>
      </c>
      <c r="J118" s="6" t="s">
        <v>263</v>
      </c>
      <c r="K118" s="68">
        <f>Row_Data!$F118*Row_Data!$G118</f>
        <v>3491.86</v>
      </c>
      <c r="L118" s="69" t="str">
        <f>TEXT(Row_Data!$B118,"MMM "&amp;"YYY")</f>
        <v>Mar 2025</v>
      </c>
    </row>
    <row r="119" spans="1:12" hidden="1" x14ac:dyDescent="0.3">
      <c r="A119" s="6">
        <v>9225</v>
      </c>
      <c r="B119" s="64">
        <v>45722</v>
      </c>
      <c r="C119" s="6" t="s">
        <v>305</v>
      </c>
      <c r="D119" s="6" t="s">
        <v>1225</v>
      </c>
      <c r="E119" s="6" t="s">
        <v>1212</v>
      </c>
      <c r="F119" s="6">
        <v>2</v>
      </c>
      <c r="G119" s="65">
        <v>1460.31</v>
      </c>
      <c r="H119" s="6" t="s">
        <v>1220</v>
      </c>
      <c r="I119" s="6" t="s">
        <v>1217</v>
      </c>
      <c r="J119" s="6" t="s">
        <v>506</v>
      </c>
      <c r="K119" s="68">
        <f>Row_Data!$F119*Row_Data!$G119</f>
        <v>2920.62</v>
      </c>
      <c r="L119" s="69" t="str">
        <f>TEXT(Row_Data!$B119,"MMM "&amp;"YYY")</f>
        <v>Mar 2025</v>
      </c>
    </row>
    <row r="120" spans="1:12" hidden="1" x14ac:dyDescent="0.3">
      <c r="A120" s="6">
        <v>3293</v>
      </c>
      <c r="B120" s="64">
        <v>45724</v>
      </c>
      <c r="C120" s="6" t="s">
        <v>307</v>
      </c>
      <c r="D120" s="6" t="s">
        <v>1215</v>
      </c>
      <c r="E120" s="6" t="s">
        <v>1212</v>
      </c>
      <c r="F120" s="6">
        <v>3</v>
      </c>
      <c r="G120" s="65">
        <v>3388.91</v>
      </c>
      <c r="H120" s="6" t="s">
        <v>1216</v>
      </c>
      <c r="I120" s="6" t="s">
        <v>1227</v>
      </c>
      <c r="J120" s="6" t="s">
        <v>534</v>
      </c>
      <c r="K120" s="68">
        <f>Row_Data!$F120*Row_Data!$G120</f>
        <v>10166.73</v>
      </c>
      <c r="L120" s="69" t="str">
        <f>TEXT(Row_Data!$B120,"MMM "&amp;"YYY")</f>
        <v>Mar 2025</v>
      </c>
    </row>
    <row r="121" spans="1:12" hidden="1" x14ac:dyDescent="0.3">
      <c r="A121" s="6">
        <v>7449</v>
      </c>
      <c r="B121" s="64">
        <v>45725</v>
      </c>
      <c r="C121" s="6" t="s">
        <v>309</v>
      </c>
      <c r="D121" s="6" t="s">
        <v>1229</v>
      </c>
      <c r="E121" s="6" t="s">
        <v>1221</v>
      </c>
      <c r="F121" s="6">
        <v>1</v>
      </c>
      <c r="G121" s="65">
        <v>392.42</v>
      </c>
      <c r="H121" s="6" t="s">
        <v>1220</v>
      </c>
      <c r="I121" s="6" t="s">
        <v>1227</v>
      </c>
      <c r="J121" s="6" t="s">
        <v>261</v>
      </c>
      <c r="K121" s="68">
        <f>Row_Data!$F121*Row_Data!$G121</f>
        <v>392.42</v>
      </c>
      <c r="L121" s="69" t="str">
        <f>TEXT(Row_Data!$B121,"MMM "&amp;"YYY")</f>
        <v>Mar 2025</v>
      </c>
    </row>
    <row r="122" spans="1:12" hidden="1" x14ac:dyDescent="0.3">
      <c r="A122" s="6">
        <v>5920</v>
      </c>
      <c r="B122" s="64">
        <v>45726</v>
      </c>
      <c r="C122" s="6" t="s">
        <v>311</v>
      </c>
      <c r="D122" s="6" t="s">
        <v>1211</v>
      </c>
      <c r="E122" s="6" t="s">
        <v>1221</v>
      </c>
      <c r="F122" s="6">
        <v>2</v>
      </c>
      <c r="G122" s="65">
        <v>1325.21</v>
      </c>
      <c r="H122" s="6" t="s">
        <v>1216</v>
      </c>
      <c r="I122" s="6" t="s">
        <v>1227</v>
      </c>
      <c r="J122" s="6" t="s">
        <v>216</v>
      </c>
      <c r="K122" s="68">
        <f>Row_Data!$F122*Row_Data!$G122</f>
        <v>2650.42</v>
      </c>
      <c r="L122" s="69" t="str">
        <f>TEXT(Row_Data!$B122,"MMM "&amp;"YYY")</f>
        <v>Mar 2025</v>
      </c>
    </row>
    <row r="123" spans="1:12" hidden="1" x14ac:dyDescent="0.3">
      <c r="A123" s="6">
        <v>2757</v>
      </c>
      <c r="B123" s="64">
        <v>45726</v>
      </c>
      <c r="C123" s="6" t="s">
        <v>313</v>
      </c>
      <c r="D123" s="6" t="s">
        <v>1218</v>
      </c>
      <c r="E123" s="6" t="s">
        <v>1221</v>
      </c>
      <c r="F123" s="6">
        <v>3</v>
      </c>
      <c r="G123" s="65">
        <v>2417.81</v>
      </c>
      <c r="H123" s="6" t="s">
        <v>1220</v>
      </c>
      <c r="I123" s="6" t="s">
        <v>1214</v>
      </c>
      <c r="J123" s="6" t="s">
        <v>294</v>
      </c>
      <c r="K123" s="68">
        <f>Row_Data!$F123*Row_Data!$G123</f>
        <v>7253.43</v>
      </c>
      <c r="L123" s="69" t="str">
        <f>TEXT(Row_Data!$B123,"MMM "&amp;"YYY")</f>
        <v>Mar 2025</v>
      </c>
    </row>
    <row r="124" spans="1:12" hidden="1" x14ac:dyDescent="0.3">
      <c r="A124" s="6">
        <v>2570</v>
      </c>
      <c r="B124" s="64">
        <v>45727</v>
      </c>
      <c r="C124" s="6" t="s">
        <v>315</v>
      </c>
      <c r="D124" s="6" t="s">
        <v>1225</v>
      </c>
      <c r="E124" s="6" t="s">
        <v>1221</v>
      </c>
      <c r="F124" s="6">
        <v>3</v>
      </c>
      <c r="G124" s="65">
        <v>3976.24</v>
      </c>
      <c r="H124" s="6" t="s">
        <v>1220</v>
      </c>
      <c r="I124" s="6" t="s">
        <v>1227</v>
      </c>
      <c r="J124" s="6" t="s">
        <v>156</v>
      </c>
      <c r="K124" s="68">
        <f>Row_Data!$F124*Row_Data!$G124</f>
        <v>11928.72</v>
      </c>
      <c r="L124" s="69" t="str">
        <f>TEXT(Row_Data!$B124,"MMM "&amp;"YYY")</f>
        <v>Mar 2025</v>
      </c>
    </row>
    <row r="125" spans="1:12" hidden="1" x14ac:dyDescent="0.3">
      <c r="A125" s="6">
        <v>3010</v>
      </c>
      <c r="B125" s="64">
        <v>45727</v>
      </c>
      <c r="C125" s="6" t="s">
        <v>317</v>
      </c>
      <c r="D125" s="6" t="s">
        <v>1219</v>
      </c>
      <c r="E125" s="6" t="s">
        <v>1226</v>
      </c>
      <c r="F125" s="6">
        <v>2</v>
      </c>
      <c r="G125" s="65">
        <v>3950.45</v>
      </c>
      <c r="H125" s="6" t="s">
        <v>1216</v>
      </c>
      <c r="I125" s="6" t="s">
        <v>1214</v>
      </c>
      <c r="J125" s="6" t="s">
        <v>348</v>
      </c>
      <c r="K125" s="68">
        <f>Row_Data!$F125*Row_Data!$G125</f>
        <v>7900.9</v>
      </c>
      <c r="L125" s="69" t="str">
        <f>TEXT(Row_Data!$B125,"MMM "&amp;"YYY")</f>
        <v>Mar 2025</v>
      </c>
    </row>
    <row r="126" spans="1:12" hidden="1" x14ac:dyDescent="0.3">
      <c r="A126" s="6">
        <v>1790</v>
      </c>
      <c r="B126" s="64">
        <v>45727</v>
      </c>
      <c r="C126" s="6" t="s">
        <v>319</v>
      </c>
      <c r="D126" s="6" t="s">
        <v>1215</v>
      </c>
      <c r="E126" s="6" t="s">
        <v>1221</v>
      </c>
      <c r="F126" s="6">
        <v>4</v>
      </c>
      <c r="G126" s="65">
        <v>186.29</v>
      </c>
      <c r="H126" s="6" t="s">
        <v>1216</v>
      </c>
      <c r="I126" s="6" t="s">
        <v>1217</v>
      </c>
      <c r="J126" s="6" t="s">
        <v>324</v>
      </c>
      <c r="K126" s="68">
        <f>Row_Data!$F126*Row_Data!$G126</f>
        <v>745.16</v>
      </c>
      <c r="L126" s="69" t="str">
        <f>TEXT(Row_Data!$B126,"MMM "&amp;"YYY")</f>
        <v>Mar 2025</v>
      </c>
    </row>
    <row r="127" spans="1:12" hidden="1" x14ac:dyDescent="0.3">
      <c r="A127" s="6">
        <v>2038</v>
      </c>
      <c r="B127" s="64">
        <v>45727</v>
      </c>
      <c r="C127" s="6" t="s">
        <v>321</v>
      </c>
      <c r="D127" s="6" t="s">
        <v>1223</v>
      </c>
      <c r="E127" s="6" t="s">
        <v>1221</v>
      </c>
      <c r="F127" s="6">
        <v>2</v>
      </c>
      <c r="G127" s="65">
        <v>4910.26</v>
      </c>
      <c r="H127" s="6" t="s">
        <v>1213</v>
      </c>
      <c r="I127" s="6" t="s">
        <v>1217</v>
      </c>
      <c r="J127" s="6" t="s">
        <v>635</v>
      </c>
      <c r="K127" s="68">
        <f>Row_Data!$F127*Row_Data!$G127</f>
        <v>9820.52</v>
      </c>
      <c r="L127" s="69" t="str">
        <f>TEXT(Row_Data!$B127,"MMM "&amp;"YYY")</f>
        <v>Mar 2025</v>
      </c>
    </row>
    <row r="128" spans="1:12" hidden="1" x14ac:dyDescent="0.3">
      <c r="A128" s="6">
        <v>1476</v>
      </c>
      <c r="B128" s="64">
        <v>45727</v>
      </c>
      <c r="C128" s="6" t="s">
        <v>323</v>
      </c>
      <c r="D128" s="6" t="s">
        <v>1223</v>
      </c>
      <c r="E128" s="6" t="s">
        <v>1221</v>
      </c>
      <c r="F128" s="6">
        <v>1</v>
      </c>
      <c r="G128" s="65">
        <v>1668.15</v>
      </c>
      <c r="H128" s="6" t="s">
        <v>1213</v>
      </c>
      <c r="I128" s="6" t="s">
        <v>1217</v>
      </c>
      <c r="J128" s="6" t="s">
        <v>683</v>
      </c>
      <c r="K128" s="68">
        <f>Row_Data!$F128*Row_Data!$G128</f>
        <v>1668.15</v>
      </c>
      <c r="L128" s="69" t="str">
        <f>TEXT(Row_Data!$B128,"MMM "&amp;"YYY")</f>
        <v>Mar 2025</v>
      </c>
    </row>
    <row r="129" spans="1:12" hidden="1" x14ac:dyDescent="0.3">
      <c r="A129" s="6">
        <v>6297</v>
      </c>
      <c r="B129" s="64">
        <v>45727</v>
      </c>
      <c r="C129" s="6" t="s">
        <v>325</v>
      </c>
      <c r="D129" s="6" t="s">
        <v>1228</v>
      </c>
      <c r="E129" s="6" t="s">
        <v>1226</v>
      </c>
      <c r="F129" s="6">
        <v>1</v>
      </c>
      <c r="G129" s="65">
        <v>1376.4</v>
      </c>
      <c r="H129" s="6" t="s">
        <v>1216</v>
      </c>
      <c r="I129" s="6" t="s">
        <v>1214</v>
      </c>
      <c r="J129" s="6" t="s">
        <v>589</v>
      </c>
      <c r="K129" s="68">
        <f>Row_Data!$F129*Row_Data!$G129</f>
        <v>1376.4</v>
      </c>
      <c r="L129" s="69" t="str">
        <f>TEXT(Row_Data!$B129,"MMM "&amp;"YYY")</f>
        <v>Mar 2025</v>
      </c>
    </row>
    <row r="130" spans="1:12" hidden="1" x14ac:dyDescent="0.3">
      <c r="A130" s="6">
        <v>4206</v>
      </c>
      <c r="B130" s="64">
        <v>45728</v>
      </c>
      <c r="C130" s="6" t="s">
        <v>327</v>
      </c>
      <c r="D130" s="6" t="s">
        <v>1211</v>
      </c>
      <c r="E130" s="6" t="s">
        <v>1226</v>
      </c>
      <c r="F130" s="6">
        <v>4</v>
      </c>
      <c r="G130" s="65">
        <v>2889.42</v>
      </c>
      <c r="H130" s="6" t="s">
        <v>1216</v>
      </c>
      <c r="I130" s="6" t="s">
        <v>1217</v>
      </c>
      <c r="J130" s="6" t="s">
        <v>316</v>
      </c>
      <c r="K130" s="68">
        <f>Row_Data!$F130*Row_Data!$G130</f>
        <v>11557.68</v>
      </c>
      <c r="L130" s="69" t="str">
        <f>TEXT(Row_Data!$B130,"MMM "&amp;"YYY")</f>
        <v>Mar 2025</v>
      </c>
    </row>
    <row r="131" spans="1:12" hidden="1" x14ac:dyDescent="0.3">
      <c r="A131" s="6">
        <v>8073</v>
      </c>
      <c r="B131" s="64">
        <v>45728</v>
      </c>
      <c r="C131" s="6" t="s">
        <v>329</v>
      </c>
      <c r="D131" s="6" t="s">
        <v>1228</v>
      </c>
      <c r="E131" s="6" t="s">
        <v>1212</v>
      </c>
      <c r="F131" s="6">
        <v>5</v>
      </c>
      <c r="G131" s="65">
        <v>4548.59</v>
      </c>
      <c r="H131" s="6" t="s">
        <v>1220</v>
      </c>
      <c r="I131" s="6" t="s">
        <v>1214</v>
      </c>
      <c r="J131" s="6" t="s">
        <v>667</v>
      </c>
      <c r="K131" s="68">
        <f>Row_Data!$F131*Row_Data!$G131</f>
        <v>22742.95</v>
      </c>
      <c r="L131" s="69" t="str">
        <f>TEXT(Row_Data!$B131,"MMM "&amp;"YYY")</f>
        <v>Mar 2025</v>
      </c>
    </row>
    <row r="132" spans="1:12" hidden="1" x14ac:dyDescent="0.3">
      <c r="A132" s="6">
        <v>6280</v>
      </c>
      <c r="B132" s="64">
        <v>45730</v>
      </c>
      <c r="C132" s="6" t="s">
        <v>331</v>
      </c>
      <c r="D132" s="6" t="s">
        <v>1222</v>
      </c>
      <c r="E132" s="6" t="s">
        <v>1221</v>
      </c>
      <c r="F132" s="6">
        <v>1</v>
      </c>
      <c r="G132" s="65">
        <v>4002.84</v>
      </c>
      <c r="H132" s="6" t="s">
        <v>1220</v>
      </c>
      <c r="I132" s="6" t="s">
        <v>1227</v>
      </c>
      <c r="J132" s="6" t="s">
        <v>546</v>
      </c>
      <c r="K132" s="68">
        <f>Row_Data!$F132*Row_Data!$G132</f>
        <v>4002.84</v>
      </c>
      <c r="L132" s="69" t="str">
        <f>TEXT(Row_Data!$B132,"MMM "&amp;"YYY")</f>
        <v>Mar 2025</v>
      </c>
    </row>
    <row r="133" spans="1:12" hidden="1" x14ac:dyDescent="0.3">
      <c r="A133" s="6">
        <v>9118</v>
      </c>
      <c r="B133" s="64">
        <v>45731</v>
      </c>
      <c r="C133" s="6" t="s">
        <v>333</v>
      </c>
      <c r="D133" s="6" t="s">
        <v>1229</v>
      </c>
      <c r="E133" s="6" t="s">
        <v>1212</v>
      </c>
      <c r="F133" s="6">
        <v>1</v>
      </c>
      <c r="G133" s="65">
        <v>3269.28</v>
      </c>
      <c r="H133" s="6" t="s">
        <v>1220</v>
      </c>
      <c r="I133" s="6" t="s">
        <v>1214</v>
      </c>
      <c r="J133" s="6" t="s">
        <v>595</v>
      </c>
      <c r="K133" s="68">
        <f>Row_Data!$F133*Row_Data!$G133</f>
        <v>3269.28</v>
      </c>
      <c r="L133" s="69" t="str">
        <f>TEXT(Row_Data!$B133,"MMM "&amp;"YYY")</f>
        <v>Mar 2025</v>
      </c>
    </row>
    <row r="134" spans="1:12" hidden="1" x14ac:dyDescent="0.3">
      <c r="A134" s="6">
        <v>8970</v>
      </c>
      <c r="B134" s="64">
        <v>45731</v>
      </c>
      <c r="C134" s="6" t="s">
        <v>335</v>
      </c>
      <c r="D134" s="6" t="s">
        <v>1218</v>
      </c>
      <c r="E134" s="6" t="s">
        <v>1221</v>
      </c>
      <c r="F134" s="6">
        <v>4</v>
      </c>
      <c r="G134" s="65">
        <v>4885.29</v>
      </c>
      <c r="H134" s="6" t="s">
        <v>1220</v>
      </c>
      <c r="I134" s="6" t="s">
        <v>1217</v>
      </c>
      <c r="J134" s="6" t="s">
        <v>356</v>
      </c>
      <c r="K134" s="68">
        <f>Row_Data!$F134*Row_Data!$G134</f>
        <v>19541.16</v>
      </c>
      <c r="L134" s="69" t="str">
        <f>TEXT(Row_Data!$B134,"MMM "&amp;"YYY")</f>
        <v>Mar 2025</v>
      </c>
    </row>
    <row r="135" spans="1:12" hidden="1" x14ac:dyDescent="0.3">
      <c r="A135" s="6">
        <v>6611</v>
      </c>
      <c r="B135" s="64">
        <v>45731</v>
      </c>
      <c r="C135" s="6" t="s">
        <v>337</v>
      </c>
      <c r="D135" s="6" t="s">
        <v>1229</v>
      </c>
      <c r="E135" s="6" t="s">
        <v>1212</v>
      </c>
      <c r="F135" s="6">
        <v>2</v>
      </c>
      <c r="G135" s="65">
        <v>3287.6</v>
      </c>
      <c r="H135" s="6" t="s">
        <v>1213</v>
      </c>
      <c r="I135" s="6" t="s">
        <v>1214</v>
      </c>
      <c r="J135" s="6" t="s">
        <v>384</v>
      </c>
      <c r="K135" s="68">
        <f>Row_Data!$F135*Row_Data!$G135</f>
        <v>6575.2</v>
      </c>
      <c r="L135" s="69" t="str">
        <f>TEXT(Row_Data!$B135,"MMM "&amp;"YYY")</f>
        <v>Mar 2025</v>
      </c>
    </row>
    <row r="136" spans="1:12" hidden="1" x14ac:dyDescent="0.3">
      <c r="A136" s="6">
        <v>6701</v>
      </c>
      <c r="B136" s="64">
        <v>45731</v>
      </c>
      <c r="C136" s="6" t="s">
        <v>339</v>
      </c>
      <c r="D136" s="6" t="s">
        <v>1222</v>
      </c>
      <c r="E136" s="6" t="s">
        <v>1212</v>
      </c>
      <c r="F136" s="6">
        <v>4</v>
      </c>
      <c r="G136" s="65">
        <v>4907.18</v>
      </c>
      <c r="H136" s="6" t="s">
        <v>1213</v>
      </c>
      <c r="I136" s="6" t="s">
        <v>1227</v>
      </c>
      <c r="J136" s="6" t="s">
        <v>136</v>
      </c>
      <c r="K136" s="68">
        <f>Row_Data!$F136*Row_Data!$G136</f>
        <v>19628.72</v>
      </c>
      <c r="L136" s="69" t="str">
        <f>TEXT(Row_Data!$B136,"MMM "&amp;"YYY")</f>
        <v>Mar 2025</v>
      </c>
    </row>
    <row r="137" spans="1:12" hidden="1" x14ac:dyDescent="0.3">
      <c r="A137" s="6">
        <v>1901</v>
      </c>
      <c r="B137" s="64">
        <v>45732</v>
      </c>
      <c r="C137" s="6" t="s">
        <v>341</v>
      </c>
      <c r="D137" s="6" t="s">
        <v>1211</v>
      </c>
      <c r="E137" s="6" t="s">
        <v>1226</v>
      </c>
      <c r="F137" s="6">
        <v>3</v>
      </c>
      <c r="G137" s="65">
        <v>3026.27</v>
      </c>
      <c r="H137" s="6" t="s">
        <v>1220</v>
      </c>
      <c r="I137" s="6" t="s">
        <v>1217</v>
      </c>
      <c r="J137" s="6" t="s">
        <v>555</v>
      </c>
      <c r="K137" s="68">
        <f>Row_Data!$F137*Row_Data!$G137</f>
        <v>9078.81</v>
      </c>
      <c r="L137" s="69" t="str">
        <f>TEXT(Row_Data!$B137,"MMM "&amp;"YYY")</f>
        <v>Mar 2025</v>
      </c>
    </row>
    <row r="138" spans="1:12" hidden="1" x14ac:dyDescent="0.3">
      <c r="A138" s="6">
        <v>2051</v>
      </c>
      <c r="B138" s="64">
        <v>45732</v>
      </c>
      <c r="C138" s="6" t="s">
        <v>343</v>
      </c>
      <c r="D138" s="6" t="s">
        <v>1219</v>
      </c>
      <c r="E138" s="6" t="s">
        <v>1226</v>
      </c>
      <c r="F138" s="6">
        <v>3</v>
      </c>
      <c r="G138" s="65">
        <v>741.11</v>
      </c>
      <c r="H138" s="6" t="s">
        <v>1213</v>
      </c>
      <c r="I138" s="6" t="s">
        <v>1227</v>
      </c>
      <c r="J138" s="6" t="s">
        <v>231</v>
      </c>
      <c r="K138" s="68">
        <f>Row_Data!$F138*Row_Data!$G138</f>
        <v>2223.33</v>
      </c>
      <c r="L138" s="69" t="str">
        <f>TEXT(Row_Data!$B138,"MMM "&amp;"YYY")</f>
        <v>Mar 2025</v>
      </c>
    </row>
    <row r="139" spans="1:12" hidden="1" x14ac:dyDescent="0.3">
      <c r="A139" s="6">
        <v>8367</v>
      </c>
      <c r="B139" s="64">
        <v>45733</v>
      </c>
      <c r="C139" s="6" t="s">
        <v>345</v>
      </c>
      <c r="D139" s="6" t="s">
        <v>1225</v>
      </c>
      <c r="E139" s="6" t="s">
        <v>1221</v>
      </c>
      <c r="F139" s="6">
        <v>2</v>
      </c>
      <c r="G139" s="65">
        <v>2605.64</v>
      </c>
      <c r="H139" s="6" t="s">
        <v>1213</v>
      </c>
      <c r="I139" s="6" t="s">
        <v>1217</v>
      </c>
      <c r="J139" s="6" t="s">
        <v>548</v>
      </c>
      <c r="K139" s="68">
        <f>Row_Data!$F139*Row_Data!$G139</f>
        <v>5211.28</v>
      </c>
      <c r="L139" s="69" t="str">
        <f>TEXT(Row_Data!$B139,"MMM "&amp;"YYY")</f>
        <v>Mar 2025</v>
      </c>
    </row>
    <row r="140" spans="1:12" hidden="1" x14ac:dyDescent="0.3">
      <c r="A140" s="6">
        <v>9924</v>
      </c>
      <c r="B140" s="64">
        <v>45733</v>
      </c>
      <c r="C140" s="6" t="s">
        <v>347</v>
      </c>
      <c r="D140" s="6" t="s">
        <v>1224</v>
      </c>
      <c r="E140" s="6" t="s">
        <v>1226</v>
      </c>
      <c r="F140" s="6">
        <v>5</v>
      </c>
      <c r="G140" s="65">
        <v>2951.64</v>
      </c>
      <c r="H140" s="6" t="s">
        <v>1216</v>
      </c>
      <c r="I140" s="6" t="s">
        <v>1227</v>
      </c>
      <c r="J140" s="6" t="s">
        <v>611</v>
      </c>
      <c r="K140" s="68">
        <f>Row_Data!$F140*Row_Data!$G140</f>
        <v>14758.199999999999</v>
      </c>
      <c r="L140" s="69" t="str">
        <f>TEXT(Row_Data!$B140,"MMM "&amp;"YYY")</f>
        <v>Mar 2025</v>
      </c>
    </row>
    <row r="141" spans="1:12" hidden="1" x14ac:dyDescent="0.3">
      <c r="A141" s="6">
        <v>3396</v>
      </c>
      <c r="B141" s="64">
        <v>45734</v>
      </c>
      <c r="C141" s="6" t="s">
        <v>349</v>
      </c>
      <c r="D141" s="6" t="s">
        <v>1215</v>
      </c>
      <c r="E141" s="6" t="s">
        <v>1221</v>
      </c>
      <c r="F141" s="6">
        <v>5</v>
      </c>
      <c r="G141" s="65">
        <v>2123.98</v>
      </c>
      <c r="H141" s="6" t="s">
        <v>1220</v>
      </c>
      <c r="I141" s="6" t="s">
        <v>1214</v>
      </c>
      <c r="J141" s="6" t="s">
        <v>233</v>
      </c>
      <c r="K141" s="68">
        <f>Row_Data!$F141*Row_Data!$G141</f>
        <v>10619.9</v>
      </c>
      <c r="L141" s="69" t="str">
        <f>TEXT(Row_Data!$B141,"MMM "&amp;"YYY")</f>
        <v>Mar 2025</v>
      </c>
    </row>
    <row r="142" spans="1:12" hidden="1" x14ac:dyDescent="0.3">
      <c r="A142" s="6">
        <v>3985</v>
      </c>
      <c r="B142" s="64">
        <v>45734</v>
      </c>
      <c r="C142" s="6" t="s">
        <v>351</v>
      </c>
      <c r="D142" s="6" t="s">
        <v>1225</v>
      </c>
      <c r="E142" s="6" t="s">
        <v>1212</v>
      </c>
      <c r="F142" s="6">
        <v>3</v>
      </c>
      <c r="G142" s="65">
        <v>3750.62</v>
      </c>
      <c r="H142" s="6" t="s">
        <v>1213</v>
      </c>
      <c r="I142" s="6" t="s">
        <v>1227</v>
      </c>
      <c r="J142" s="6" t="s">
        <v>76</v>
      </c>
      <c r="K142" s="68">
        <f>Row_Data!$F142*Row_Data!$G142</f>
        <v>11251.86</v>
      </c>
      <c r="L142" s="69" t="str">
        <f>TEXT(Row_Data!$B142,"MMM "&amp;"YYY")</f>
        <v>Mar 2025</v>
      </c>
    </row>
    <row r="143" spans="1:12" hidden="1" x14ac:dyDescent="0.3">
      <c r="A143" s="6">
        <v>1581</v>
      </c>
      <c r="B143" s="64">
        <v>45736</v>
      </c>
      <c r="C143" s="6" t="s">
        <v>353</v>
      </c>
      <c r="D143" s="6" t="s">
        <v>1218</v>
      </c>
      <c r="E143" s="6" t="s">
        <v>1221</v>
      </c>
      <c r="F143" s="6">
        <v>1</v>
      </c>
      <c r="G143" s="65">
        <v>3415.38</v>
      </c>
      <c r="H143" s="6" t="s">
        <v>1213</v>
      </c>
      <c r="I143" s="6" t="s">
        <v>1227</v>
      </c>
      <c r="J143" s="6" t="s">
        <v>200</v>
      </c>
      <c r="K143" s="68">
        <f>Row_Data!$F143*Row_Data!$G143</f>
        <v>3415.38</v>
      </c>
      <c r="L143" s="69" t="str">
        <f>TEXT(Row_Data!$B143,"MMM "&amp;"YYY")</f>
        <v>Mar 2025</v>
      </c>
    </row>
    <row r="144" spans="1:12" hidden="1" x14ac:dyDescent="0.3">
      <c r="A144" s="6">
        <v>6921</v>
      </c>
      <c r="B144" s="64">
        <v>45736</v>
      </c>
      <c r="C144" s="6" t="s">
        <v>355</v>
      </c>
      <c r="D144" s="6" t="s">
        <v>1215</v>
      </c>
      <c r="E144" s="6" t="s">
        <v>1221</v>
      </c>
      <c r="F144" s="6">
        <v>2</v>
      </c>
      <c r="G144" s="65">
        <v>1822.83</v>
      </c>
      <c r="H144" s="6" t="s">
        <v>1220</v>
      </c>
      <c r="I144" s="6" t="s">
        <v>1217</v>
      </c>
      <c r="J144" s="6" t="s">
        <v>114</v>
      </c>
      <c r="K144" s="68">
        <f>Row_Data!$F144*Row_Data!$G144</f>
        <v>3645.66</v>
      </c>
      <c r="L144" s="69" t="str">
        <f>TEXT(Row_Data!$B144,"MMM "&amp;"YYY")</f>
        <v>Mar 2025</v>
      </c>
    </row>
    <row r="145" spans="1:12" hidden="1" x14ac:dyDescent="0.3">
      <c r="A145" s="6">
        <v>7744</v>
      </c>
      <c r="B145" s="64">
        <v>45737</v>
      </c>
      <c r="C145" s="6" t="s">
        <v>357</v>
      </c>
      <c r="D145" s="6" t="s">
        <v>1224</v>
      </c>
      <c r="E145" s="6" t="s">
        <v>1221</v>
      </c>
      <c r="F145" s="6">
        <v>2</v>
      </c>
      <c r="G145" s="65">
        <v>1701.89</v>
      </c>
      <c r="H145" s="6" t="s">
        <v>1216</v>
      </c>
      <c r="I145" s="6" t="s">
        <v>1214</v>
      </c>
      <c r="J145" s="6" t="s">
        <v>458</v>
      </c>
      <c r="K145" s="68">
        <f>Row_Data!$F145*Row_Data!$G145</f>
        <v>3403.78</v>
      </c>
      <c r="L145" s="69" t="str">
        <f>TEXT(Row_Data!$B145,"MMM "&amp;"YYY")</f>
        <v>Mar 2025</v>
      </c>
    </row>
    <row r="146" spans="1:12" hidden="1" x14ac:dyDescent="0.3">
      <c r="A146" s="6">
        <v>7064</v>
      </c>
      <c r="B146" s="64">
        <v>45737</v>
      </c>
      <c r="C146" s="6" t="s">
        <v>359</v>
      </c>
      <c r="D146" s="6" t="s">
        <v>1211</v>
      </c>
      <c r="E146" s="6" t="s">
        <v>1226</v>
      </c>
      <c r="F146" s="6">
        <v>5</v>
      </c>
      <c r="G146" s="65">
        <v>1252.19</v>
      </c>
      <c r="H146" s="6" t="s">
        <v>1213</v>
      </c>
      <c r="I146" s="6" t="s">
        <v>1214</v>
      </c>
      <c r="J146" s="6" t="s">
        <v>120</v>
      </c>
      <c r="K146" s="68">
        <f>Row_Data!$F146*Row_Data!$G146</f>
        <v>6260.9500000000007</v>
      </c>
      <c r="L146" s="69" t="str">
        <f>TEXT(Row_Data!$B146,"MMM "&amp;"YYY")</f>
        <v>Mar 2025</v>
      </c>
    </row>
    <row r="147" spans="1:12" hidden="1" x14ac:dyDescent="0.3">
      <c r="A147" s="6">
        <v>6565</v>
      </c>
      <c r="B147" s="64">
        <v>45737</v>
      </c>
      <c r="C147" s="6" t="s">
        <v>361</v>
      </c>
      <c r="D147" s="6" t="s">
        <v>1225</v>
      </c>
      <c r="E147" s="6" t="s">
        <v>1221</v>
      </c>
      <c r="F147" s="6">
        <v>1</v>
      </c>
      <c r="G147" s="65">
        <v>2965.42</v>
      </c>
      <c r="H147" s="6" t="s">
        <v>1220</v>
      </c>
      <c r="I147" s="6" t="s">
        <v>1217</v>
      </c>
      <c r="J147" s="6" t="s">
        <v>340</v>
      </c>
      <c r="K147" s="68">
        <f>Row_Data!$F147*Row_Data!$G147</f>
        <v>2965.42</v>
      </c>
      <c r="L147" s="69" t="str">
        <f>TEXT(Row_Data!$B147,"MMM "&amp;"YYY")</f>
        <v>Mar 2025</v>
      </c>
    </row>
    <row r="148" spans="1:12" hidden="1" x14ac:dyDescent="0.3">
      <c r="A148" s="6">
        <v>8732</v>
      </c>
      <c r="B148" s="64">
        <v>45738</v>
      </c>
      <c r="C148" s="6" t="s">
        <v>363</v>
      </c>
      <c r="D148" s="6" t="s">
        <v>1215</v>
      </c>
      <c r="E148" s="6" t="s">
        <v>1221</v>
      </c>
      <c r="F148" s="6">
        <v>2</v>
      </c>
      <c r="G148" s="65">
        <v>3857.23</v>
      </c>
      <c r="H148" s="6" t="s">
        <v>1220</v>
      </c>
      <c r="I148" s="6" t="s">
        <v>1217</v>
      </c>
      <c r="J148" s="6" t="s">
        <v>376</v>
      </c>
      <c r="K148" s="68">
        <f>Row_Data!$F148*Row_Data!$G148</f>
        <v>7714.46</v>
      </c>
      <c r="L148" s="69" t="str">
        <f>TEXT(Row_Data!$B148,"MMM "&amp;"YYY")</f>
        <v>Mar 2025</v>
      </c>
    </row>
    <row r="149" spans="1:12" hidden="1" x14ac:dyDescent="0.3">
      <c r="A149" s="6">
        <v>7976</v>
      </c>
      <c r="B149" s="64">
        <v>45738</v>
      </c>
      <c r="C149" s="6" t="s">
        <v>365</v>
      </c>
      <c r="D149" s="6" t="s">
        <v>1219</v>
      </c>
      <c r="E149" s="6" t="s">
        <v>1212</v>
      </c>
      <c r="F149" s="6">
        <v>5</v>
      </c>
      <c r="G149" s="65">
        <v>752.91</v>
      </c>
      <c r="H149" s="6" t="s">
        <v>1220</v>
      </c>
      <c r="I149" s="6" t="s">
        <v>1214</v>
      </c>
      <c r="J149" s="6" t="s">
        <v>354</v>
      </c>
      <c r="K149" s="68">
        <f>Row_Data!$F149*Row_Data!$G149</f>
        <v>3764.5499999999997</v>
      </c>
      <c r="L149" s="69" t="str">
        <f>TEXT(Row_Data!$B149,"MMM "&amp;"YYY")</f>
        <v>Mar 2025</v>
      </c>
    </row>
    <row r="150" spans="1:12" hidden="1" x14ac:dyDescent="0.3">
      <c r="A150" s="6">
        <v>4833</v>
      </c>
      <c r="B150" s="64">
        <v>45738</v>
      </c>
      <c r="C150" s="6" t="s">
        <v>367</v>
      </c>
      <c r="D150" s="6" t="s">
        <v>1224</v>
      </c>
      <c r="E150" s="6" t="s">
        <v>1221</v>
      </c>
      <c r="F150" s="6">
        <v>2</v>
      </c>
      <c r="G150" s="65">
        <v>2950.63</v>
      </c>
      <c r="H150" s="6" t="s">
        <v>1220</v>
      </c>
      <c r="I150" s="6" t="s">
        <v>1227</v>
      </c>
      <c r="J150" s="6" t="s">
        <v>619</v>
      </c>
      <c r="K150" s="68">
        <f>Row_Data!$F150*Row_Data!$G150</f>
        <v>5901.26</v>
      </c>
      <c r="L150" s="69" t="str">
        <f>TEXT(Row_Data!$B150,"MMM "&amp;"YYY")</f>
        <v>Mar 2025</v>
      </c>
    </row>
    <row r="151" spans="1:12" hidden="1" x14ac:dyDescent="0.3">
      <c r="A151" s="6">
        <v>5684</v>
      </c>
      <c r="B151" s="64">
        <v>45740</v>
      </c>
      <c r="C151" s="6" t="s">
        <v>369</v>
      </c>
      <c r="D151" s="6" t="s">
        <v>1218</v>
      </c>
      <c r="E151" s="6" t="s">
        <v>1226</v>
      </c>
      <c r="F151" s="6">
        <v>2</v>
      </c>
      <c r="G151" s="65">
        <v>1367.94</v>
      </c>
      <c r="H151" s="6" t="s">
        <v>1216</v>
      </c>
      <c r="I151" s="6" t="s">
        <v>1214</v>
      </c>
      <c r="J151" s="6" t="s">
        <v>434</v>
      </c>
      <c r="K151" s="68">
        <f>Row_Data!$F151*Row_Data!$G151</f>
        <v>2735.88</v>
      </c>
      <c r="L151" s="69" t="str">
        <f>TEXT(Row_Data!$B151,"MMM "&amp;"YYY")</f>
        <v>Mar 2025</v>
      </c>
    </row>
    <row r="152" spans="1:12" hidden="1" x14ac:dyDescent="0.3">
      <c r="A152" s="6">
        <v>4948</v>
      </c>
      <c r="B152" s="64">
        <v>45740</v>
      </c>
      <c r="C152" s="6" t="s">
        <v>371</v>
      </c>
      <c r="D152" s="6" t="s">
        <v>1223</v>
      </c>
      <c r="E152" s="6" t="s">
        <v>1212</v>
      </c>
      <c r="F152" s="6">
        <v>1</v>
      </c>
      <c r="G152" s="65">
        <v>4664.21</v>
      </c>
      <c r="H152" s="6" t="s">
        <v>1216</v>
      </c>
      <c r="I152" s="6" t="s">
        <v>1217</v>
      </c>
      <c r="J152" s="6" t="s">
        <v>695</v>
      </c>
      <c r="K152" s="68">
        <f>Row_Data!$F152*Row_Data!$G152</f>
        <v>4664.21</v>
      </c>
      <c r="L152" s="69" t="str">
        <f>TEXT(Row_Data!$B152,"MMM "&amp;"YYY")</f>
        <v>Mar 2025</v>
      </c>
    </row>
    <row r="153" spans="1:12" hidden="1" x14ac:dyDescent="0.3">
      <c r="A153" s="6">
        <v>5879</v>
      </c>
      <c r="B153" s="64">
        <v>45740</v>
      </c>
      <c r="C153" s="6" t="s">
        <v>373</v>
      </c>
      <c r="D153" s="6" t="s">
        <v>1224</v>
      </c>
      <c r="E153" s="6" t="s">
        <v>1226</v>
      </c>
      <c r="F153" s="6">
        <v>5</v>
      </c>
      <c r="G153" s="65">
        <v>732.97</v>
      </c>
      <c r="H153" s="6" t="s">
        <v>1216</v>
      </c>
      <c r="I153" s="6" t="s">
        <v>1227</v>
      </c>
      <c r="J153" s="6" t="s">
        <v>575</v>
      </c>
      <c r="K153" s="68">
        <f>Row_Data!$F153*Row_Data!$G153</f>
        <v>3664.8500000000004</v>
      </c>
      <c r="L153" s="69" t="str">
        <f>TEXT(Row_Data!$B153,"MMM "&amp;"YYY")</f>
        <v>Mar 2025</v>
      </c>
    </row>
    <row r="154" spans="1:12" hidden="1" x14ac:dyDescent="0.3">
      <c r="A154" s="6">
        <v>7931</v>
      </c>
      <c r="B154" s="64">
        <v>45741</v>
      </c>
      <c r="C154" s="6" t="s">
        <v>375</v>
      </c>
      <c r="D154" s="6" t="s">
        <v>1219</v>
      </c>
      <c r="E154" s="6" t="s">
        <v>1221</v>
      </c>
      <c r="F154" s="6">
        <v>3</v>
      </c>
      <c r="G154" s="65">
        <v>1973.05</v>
      </c>
      <c r="H154" s="6" t="s">
        <v>1213</v>
      </c>
      <c r="I154" s="6" t="s">
        <v>1227</v>
      </c>
      <c r="J154" s="6" t="s">
        <v>281</v>
      </c>
      <c r="K154" s="68">
        <f>Row_Data!$F154*Row_Data!$G154</f>
        <v>5919.15</v>
      </c>
      <c r="L154" s="69" t="str">
        <f>TEXT(Row_Data!$B154,"MMM "&amp;"YYY")</f>
        <v>Mar 2025</v>
      </c>
    </row>
    <row r="155" spans="1:12" hidden="1" x14ac:dyDescent="0.3">
      <c r="A155" s="6">
        <v>7981</v>
      </c>
      <c r="B155" s="64">
        <v>45741</v>
      </c>
      <c r="C155" s="6" t="s">
        <v>377</v>
      </c>
      <c r="D155" s="6" t="s">
        <v>1222</v>
      </c>
      <c r="E155" s="6" t="s">
        <v>1226</v>
      </c>
      <c r="F155" s="6">
        <v>5</v>
      </c>
      <c r="G155" s="65">
        <v>2659.63</v>
      </c>
      <c r="H155" s="6" t="s">
        <v>1220</v>
      </c>
      <c r="I155" s="6" t="s">
        <v>1217</v>
      </c>
      <c r="J155" s="6" t="s">
        <v>132</v>
      </c>
      <c r="K155" s="68">
        <f>Row_Data!$F155*Row_Data!$G155</f>
        <v>13298.150000000001</v>
      </c>
      <c r="L155" s="69" t="str">
        <f>TEXT(Row_Data!$B155,"MMM "&amp;"YYY")</f>
        <v>Mar 2025</v>
      </c>
    </row>
    <row r="156" spans="1:12" hidden="1" x14ac:dyDescent="0.3">
      <c r="A156" s="6">
        <v>5142</v>
      </c>
      <c r="B156" s="64">
        <v>45742</v>
      </c>
      <c r="C156" s="6" t="s">
        <v>379</v>
      </c>
      <c r="D156" s="6" t="s">
        <v>1228</v>
      </c>
      <c r="E156" s="6" t="s">
        <v>1226</v>
      </c>
      <c r="F156" s="6">
        <v>3</v>
      </c>
      <c r="G156" s="65">
        <v>2633.22</v>
      </c>
      <c r="H156" s="6" t="s">
        <v>1220</v>
      </c>
      <c r="I156" s="6" t="s">
        <v>1217</v>
      </c>
      <c r="J156" s="6" t="s">
        <v>478</v>
      </c>
      <c r="K156" s="68">
        <f>Row_Data!$F156*Row_Data!$G156</f>
        <v>7899.66</v>
      </c>
      <c r="L156" s="69" t="str">
        <f>TEXT(Row_Data!$B156,"MMM "&amp;"YYY")</f>
        <v>Mar 2025</v>
      </c>
    </row>
    <row r="157" spans="1:12" hidden="1" x14ac:dyDescent="0.3">
      <c r="A157" s="6">
        <v>7062</v>
      </c>
      <c r="B157" s="64">
        <v>45742</v>
      </c>
      <c r="C157" s="6" t="s">
        <v>381</v>
      </c>
      <c r="D157" s="6" t="s">
        <v>1223</v>
      </c>
      <c r="E157" s="6" t="s">
        <v>1212</v>
      </c>
      <c r="F157" s="6">
        <v>3</v>
      </c>
      <c r="G157" s="65">
        <v>3010.34</v>
      </c>
      <c r="H157" s="6" t="s">
        <v>1220</v>
      </c>
      <c r="I157" s="6" t="s">
        <v>1227</v>
      </c>
      <c r="J157" s="6" t="s">
        <v>677</v>
      </c>
      <c r="K157" s="68">
        <f>Row_Data!$F157*Row_Data!$G157</f>
        <v>9031.02</v>
      </c>
      <c r="L157" s="69" t="str">
        <f>TEXT(Row_Data!$B157,"MMM "&amp;"YYY")</f>
        <v>Mar 2025</v>
      </c>
    </row>
    <row r="158" spans="1:12" hidden="1" x14ac:dyDescent="0.3">
      <c r="A158" s="6">
        <v>7791</v>
      </c>
      <c r="B158" s="64">
        <v>45743</v>
      </c>
      <c r="C158" s="6" t="s">
        <v>383</v>
      </c>
      <c r="D158" s="6" t="s">
        <v>1219</v>
      </c>
      <c r="E158" s="6" t="s">
        <v>1221</v>
      </c>
      <c r="F158" s="6">
        <v>1</v>
      </c>
      <c r="G158" s="65">
        <v>716.77</v>
      </c>
      <c r="H158" s="6" t="s">
        <v>1216</v>
      </c>
      <c r="I158" s="6" t="s">
        <v>1217</v>
      </c>
      <c r="J158" s="6" t="s">
        <v>386</v>
      </c>
      <c r="K158" s="68">
        <f>Row_Data!$F158*Row_Data!$G158</f>
        <v>716.77</v>
      </c>
      <c r="L158" s="69" t="str">
        <f>TEXT(Row_Data!$B158,"MMM "&amp;"YYY")</f>
        <v>Mar 2025</v>
      </c>
    </row>
    <row r="159" spans="1:12" hidden="1" x14ac:dyDescent="0.3">
      <c r="A159" s="6">
        <v>5375</v>
      </c>
      <c r="B159" s="64">
        <v>45743</v>
      </c>
      <c r="C159" s="6" t="s">
        <v>385</v>
      </c>
      <c r="D159" s="6" t="s">
        <v>1218</v>
      </c>
      <c r="E159" s="6" t="s">
        <v>1212</v>
      </c>
      <c r="F159" s="6">
        <v>5</v>
      </c>
      <c r="G159" s="65">
        <v>3902.89</v>
      </c>
      <c r="H159" s="6" t="s">
        <v>1213</v>
      </c>
      <c r="I159" s="6" t="s">
        <v>1217</v>
      </c>
      <c r="J159" s="6" t="s">
        <v>633</v>
      </c>
      <c r="K159" s="68">
        <f>Row_Data!$F159*Row_Data!$G159</f>
        <v>19514.45</v>
      </c>
      <c r="L159" s="69" t="str">
        <f>TEXT(Row_Data!$B159,"MMM "&amp;"YYY")</f>
        <v>Mar 2025</v>
      </c>
    </row>
    <row r="160" spans="1:12" hidden="1" x14ac:dyDescent="0.3">
      <c r="A160" s="6">
        <v>1692</v>
      </c>
      <c r="B160" s="64">
        <v>45744</v>
      </c>
      <c r="C160" s="6" t="s">
        <v>387</v>
      </c>
      <c r="D160" s="6" t="s">
        <v>1228</v>
      </c>
      <c r="E160" s="6" t="s">
        <v>1226</v>
      </c>
      <c r="F160" s="6">
        <v>2</v>
      </c>
      <c r="G160" s="65">
        <v>1115.74</v>
      </c>
      <c r="H160" s="6" t="s">
        <v>1213</v>
      </c>
      <c r="I160" s="6" t="s">
        <v>1217</v>
      </c>
      <c r="J160" s="6" t="s">
        <v>283</v>
      </c>
      <c r="K160" s="68">
        <f>Row_Data!$F160*Row_Data!$G160</f>
        <v>2231.48</v>
      </c>
      <c r="L160" s="69" t="str">
        <f>TEXT(Row_Data!$B160,"MMM "&amp;"YYY")</f>
        <v>Mar 2025</v>
      </c>
    </row>
    <row r="161" spans="1:12" hidden="1" x14ac:dyDescent="0.3">
      <c r="A161" s="6">
        <v>2794</v>
      </c>
      <c r="B161" s="64">
        <v>45745</v>
      </c>
      <c r="C161" s="6" t="s">
        <v>389</v>
      </c>
      <c r="D161" s="6" t="s">
        <v>1218</v>
      </c>
      <c r="E161" s="6" t="s">
        <v>1212</v>
      </c>
      <c r="F161" s="6">
        <v>2</v>
      </c>
      <c r="G161" s="65">
        <v>3654.86</v>
      </c>
      <c r="H161" s="6" t="s">
        <v>1220</v>
      </c>
      <c r="I161" s="6" t="s">
        <v>1217</v>
      </c>
      <c r="J161" s="6" t="s">
        <v>470</v>
      </c>
      <c r="K161" s="68">
        <f>Row_Data!$F161*Row_Data!$G161</f>
        <v>7309.72</v>
      </c>
      <c r="L161" s="69" t="str">
        <f>TEXT(Row_Data!$B161,"MMM "&amp;"YYY")</f>
        <v>Mar 2025</v>
      </c>
    </row>
    <row r="162" spans="1:12" hidden="1" x14ac:dyDescent="0.3">
      <c r="A162" s="6">
        <v>2794</v>
      </c>
      <c r="B162" s="64">
        <v>45745</v>
      </c>
      <c r="C162" s="6" t="s">
        <v>389</v>
      </c>
      <c r="D162" s="6" t="s">
        <v>1218</v>
      </c>
      <c r="E162" s="6" t="s">
        <v>1212</v>
      </c>
      <c r="F162" s="6">
        <v>2</v>
      </c>
      <c r="G162" s="65">
        <v>3654.86</v>
      </c>
      <c r="H162" s="6" t="s">
        <v>1220</v>
      </c>
      <c r="I162" s="6" t="s">
        <v>1217</v>
      </c>
      <c r="J162" s="6" t="s">
        <v>184</v>
      </c>
      <c r="K162" s="68">
        <f>Row_Data!$F162*Row_Data!$G162</f>
        <v>7309.72</v>
      </c>
      <c r="L162" s="69" t="str">
        <f>TEXT(Row_Data!$B162,"MMM "&amp;"YYY")</f>
        <v>Mar 2025</v>
      </c>
    </row>
    <row r="163" spans="1:12" hidden="1" x14ac:dyDescent="0.3">
      <c r="A163" s="6">
        <v>8762</v>
      </c>
      <c r="B163" s="64">
        <v>45745</v>
      </c>
      <c r="C163" s="6" t="s">
        <v>391</v>
      </c>
      <c r="D163" s="6" t="s">
        <v>1219</v>
      </c>
      <c r="E163" s="6" t="s">
        <v>1212</v>
      </c>
      <c r="F163" s="6">
        <v>2</v>
      </c>
      <c r="G163" s="65">
        <v>2122.58</v>
      </c>
      <c r="H163" s="6" t="s">
        <v>1216</v>
      </c>
      <c r="I163" s="6" t="s">
        <v>1214</v>
      </c>
      <c r="J163" s="6" t="s">
        <v>516</v>
      </c>
      <c r="K163" s="68">
        <f>Row_Data!$F163*Row_Data!$G163</f>
        <v>4245.16</v>
      </c>
      <c r="L163" s="69" t="str">
        <f>TEXT(Row_Data!$B163,"MMM "&amp;"YYY")</f>
        <v>Mar 2025</v>
      </c>
    </row>
    <row r="164" spans="1:12" hidden="1" x14ac:dyDescent="0.3">
      <c r="A164" s="6">
        <v>5527</v>
      </c>
      <c r="B164" s="64">
        <v>45746</v>
      </c>
      <c r="C164" s="6" t="s">
        <v>393</v>
      </c>
      <c r="D164" s="6" t="s">
        <v>1225</v>
      </c>
      <c r="E164" s="6" t="s">
        <v>1221</v>
      </c>
      <c r="F164" s="6">
        <v>3</v>
      </c>
      <c r="G164" s="65">
        <v>4028.58</v>
      </c>
      <c r="H164" s="6" t="s">
        <v>1213</v>
      </c>
      <c r="I164" s="6" t="s">
        <v>1227</v>
      </c>
      <c r="J164" s="6" t="s">
        <v>206</v>
      </c>
      <c r="K164" s="68">
        <f>Row_Data!$F164*Row_Data!$G164</f>
        <v>12085.74</v>
      </c>
      <c r="L164" s="69" t="str">
        <f>TEXT(Row_Data!$B164,"MMM "&amp;"YYY")</f>
        <v>Mar 2025</v>
      </c>
    </row>
    <row r="165" spans="1:12" hidden="1" x14ac:dyDescent="0.3">
      <c r="A165" s="6">
        <v>8547</v>
      </c>
      <c r="B165" s="64">
        <v>45746</v>
      </c>
      <c r="C165" s="6" t="s">
        <v>395</v>
      </c>
      <c r="D165" s="6" t="s">
        <v>1211</v>
      </c>
      <c r="E165" s="6" t="s">
        <v>1221</v>
      </c>
      <c r="F165" s="6">
        <v>5</v>
      </c>
      <c r="G165" s="65">
        <v>1258.83</v>
      </c>
      <c r="H165" s="6" t="s">
        <v>1216</v>
      </c>
      <c r="I165" s="6" t="s">
        <v>1227</v>
      </c>
      <c r="J165" s="6" t="s">
        <v>613</v>
      </c>
      <c r="K165" s="68">
        <f>Row_Data!$F165*Row_Data!$G165</f>
        <v>6294.15</v>
      </c>
      <c r="L165" s="69" t="str">
        <f>TEXT(Row_Data!$B165,"MMM "&amp;"YYY")</f>
        <v>Mar 2025</v>
      </c>
    </row>
    <row r="166" spans="1:12" hidden="1" x14ac:dyDescent="0.3">
      <c r="A166" s="6">
        <v>9769</v>
      </c>
      <c r="B166" s="64">
        <v>45746</v>
      </c>
      <c r="C166" s="6" t="s">
        <v>397</v>
      </c>
      <c r="D166" s="6" t="s">
        <v>1215</v>
      </c>
      <c r="E166" s="6" t="s">
        <v>1226</v>
      </c>
      <c r="F166" s="6">
        <v>3</v>
      </c>
      <c r="G166" s="65">
        <v>501.64</v>
      </c>
      <c r="H166" s="6" t="s">
        <v>1220</v>
      </c>
      <c r="I166" s="6" t="s">
        <v>1217</v>
      </c>
      <c r="J166" s="6" t="s">
        <v>102</v>
      </c>
      <c r="K166" s="68">
        <f>Row_Data!$F166*Row_Data!$G166</f>
        <v>1504.92</v>
      </c>
      <c r="L166" s="69" t="str">
        <f>TEXT(Row_Data!$B166,"MMM "&amp;"YYY")</f>
        <v>Mar 2025</v>
      </c>
    </row>
    <row r="167" spans="1:12" hidden="1" x14ac:dyDescent="0.3">
      <c r="A167" s="6">
        <v>1018</v>
      </c>
      <c r="B167" s="64">
        <v>45746</v>
      </c>
      <c r="C167" s="6" t="s">
        <v>399</v>
      </c>
      <c r="D167" s="6" t="s">
        <v>1228</v>
      </c>
      <c r="E167" s="6" t="s">
        <v>1221</v>
      </c>
      <c r="F167" s="6">
        <v>2</v>
      </c>
      <c r="G167" s="65">
        <v>836.78</v>
      </c>
      <c r="H167" s="6" t="s">
        <v>1220</v>
      </c>
      <c r="I167" s="6" t="s">
        <v>1217</v>
      </c>
      <c r="J167" s="6" t="s">
        <v>583</v>
      </c>
      <c r="K167" s="68">
        <f>Row_Data!$F167*Row_Data!$G167</f>
        <v>1673.56</v>
      </c>
      <c r="L167" s="69" t="str">
        <f>TEXT(Row_Data!$B167,"MMM "&amp;"YYY")</f>
        <v>Mar 2025</v>
      </c>
    </row>
    <row r="168" spans="1:12" hidden="1" x14ac:dyDescent="0.3">
      <c r="A168" s="6">
        <v>6056</v>
      </c>
      <c r="B168" s="64">
        <v>45749</v>
      </c>
      <c r="C168" s="6" t="s">
        <v>401</v>
      </c>
      <c r="D168" s="6" t="s">
        <v>1224</v>
      </c>
      <c r="E168" s="6" t="s">
        <v>1212</v>
      </c>
      <c r="F168" s="6">
        <v>3</v>
      </c>
      <c r="G168" s="65">
        <v>1147.48</v>
      </c>
      <c r="H168" s="6" t="s">
        <v>1213</v>
      </c>
      <c r="I168" s="6" t="s">
        <v>1227</v>
      </c>
      <c r="J168" s="6" t="s">
        <v>703</v>
      </c>
      <c r="K168" s="68">
        <f>Row_Data!$F168*Row_Data!$G168</f>
        <v>3442.44</v>
      </c>
      <c r="L168" s="69" t="str">
        <f>TEXT(Row_Data!$B168,"MMM "&amp;"YYY")</f>
        <v>Apr 2025</v>
      </c>
    </row>
    <row r="169" spans="1:12" hidden="1" x14ac:dyDescent="0.3">
      <c r="A169" s="6">
        <v>9973</v>
      </c>
      <c r="B169" s="64">
        <v>45749</v>
      </c>
      <c r="C169" s="6" t="s">
        <v>403</v>
      </c>
      <c r="D169" s="6" t="s">
        <v>1218</v>
      </c>
      <c r="E169" s="6" t="s">
        <v>1226</v>
      </c>
      <c r="F169" s="6">
        <v>4</v>
      </c>
      <c r="G169" s="65">
        <v>1724.86</v>
      </c>
      <c r="H169" s="6" t="s">
        <v>1213</v>
      </c>
      <c r="I169" s="6" t="s">
        <v>1217</v>
      </c>
      <c r="J169" s="6" t="s">
        <v>271</v>
      </c>
      <c r="K169" s="68">
        <f>Row_Data!$F169*Row_Data!$G169</f>
        <v>6899.44</v>
      </c>
      <c r="L169" s="69" t="str">
        <f>TEXT(Row_Data!$B169,"MMM "&amp;"YYY")</f>
        <v>Apr 2025</v>
      </c>
    </row>
    <row r="170" spans="1:12" hidden="1" x14ac:dyDescent="0.3">
      <c r="A170" s="6">
        <v>5457</v>
      </c>
      <c r="B170" s="64">
        <v>45750</v>
      </c>
      <c r="C170" s="6" t="s">
        <v>405</v>
      </c>
      <c r="D170" s="6" t="s">
        <v>1218</v>
      </c>
      <c r="E170" s="6" t="s">
        <v>1212</v>
      </c>
      <c r="F170" s="6">
        <v>4</v>
      </c>
      <c r="G170" s="65">
        <v>4763.95</v>
      </c>
      <c r="H170" s="6" t="s">
        <v>1213</v>
      </c>
      <c r="I170" s="6" t="s">
        <v>1217</v>
      </c>
      <c r="J170" s="6" t="s">
        <v>416</v>
      </c>
      <c r="K170" s="68">
        <f>Row_Data!$F170*Row_Data!$G170</f>
        <v>19055.8</v>
      </c>
      <c r="L170" s="69" t="str">
        <f>TEXT(Row_Data!$B170,"MMM "&amp;"YYY")</f>
        <v>Apr 2025</v>
      </c>
    </row>
    <row r="171" spans="1:12" hidden="1" x14ac:dyDescent="0.3">
      <c r="A171" s="6">
        <v>2886</v>
      </c>
      <c r="B171" s="64">
        <v>45750</v>
      </c>
      <c r="C171" s="6" t="s">
        <v>407</v>
      </c>
      <c r="D171" s="6" t="s">
        <v>1225</v>
      </c>
      <c r="E171" s="6" t="s">
        <v>1221</v>
      </c>
      <c r="F171" s="6">
        <v>3</v>
      </c>
      <c r="G171" s="65">
        <v>917.19</v>
      </c>
      <c r="H171" s="6" t="s">
        <v>1216</v>
      </c>
      <c r="I171" s="6" t="s">
        <v>1214</v>
      </c>
      <c r="J171" s="6" t="s">
        <v>500</v>
      </c>
      <c r="K171" s="68">
        <f>Row_Data!$F171*Row_Data!$G171</f>
        <v>2751.57</v>
      </c>
      <c r="L171" s="69" t="str">
        <f>TEXT(Row_Data!$B171,"MMM "&amp;"YYY")</f>
        <v>Apr 2025</v>
      </c>
    </row>
    <row r="172" spans="1:12" hidden="1" x14ac:dyDescent="0.3">
      <c r="A172" s="6">
        <v>5711</v>
      </c>
      <c r="B172" s="64">
        <v>45751</v>
      </c>
      <c r="C172" s="6" t="s">
        <v>409</v>
      </c>
      <c r="D172" s="6" t="s">
        <v>1224</v>
      </c>
      <c r="E172" s="6" t="s">
        <v>1226</v>
      </c>
      <c r="F172" s="6">
        <v>1</v>
      </c>
      <c r="G172" s="65">
        <v>4760.88</v>
      </c>
      <c r="H172" s="6" t="s">
        <v>1216</v>
      </c>
      <c r="I172" s="6" t="s">
        <v>1214</v>
      </c>
      <c r="J172" s="6" t="s">
        <v>104</v>
      </c>
      <c r="K172" s="68">
        <f>Row_Data!$F172*Row_Data!$G172</f>
        <v>4760.88</v>
      </c>
      <c r="L172" s="69" t="str">
        <f>TEXT(Row_Data!$B172,"MMM "&amp;"YYY")</f>
        <v>Apr 2025</v>
      </c>
    </row>
    <row r="173" spans="1:12" hidden="1" x14ac:dyDescent="0.3">
      <c r="A173" s="6">
        <v>7819</v>
      </c>
      <c r="B173" s="64">
        <v>45752</v>
      </c>
      <c r="C173" s="6" t="s">
        <v>411</v>
      </c>
      <c r="D173" s="6" t="s">
        <v>1224</v>
      </c>
      <c r="E173" s="6" t="s">
        <v>1226</v>
      </c>
      <c r="F173" s="6">
        <v>1</v>
      </c>
      <c r="G173" s="65">
        <v>4215.68</v>
      </c>
      <c r="H173" s="6" t="s">
        <v>1216</v>
      </c>
      <c r="I173" s="6" t="s">
        <v>1214</v>
      </c>
      <c r="J173" s="6" t="s">
        <v>273</v>
      </c>
      <c r="K173" s="68">
        <f>Row_Data!$F173*Row_Data!$G173</f>
        <v>4215.68</v>
      </c>
      <c r="L173" s="69" t="str">
        <f>TEXT(Row_Data!$B173,"MMM "&amp;"YYY")</f>
        <v>Apr 2025</v>
      </c>
    </row>
    <row r="174" spans="1:12" hidden="1" x14ac:dyDescent="0.3">
      <c r="A174" s="6">
        <v>7849</v>
      </c>
      <c r="B174" s="64">
        <v>45753</v>
      </c>
      <c r="C174" s="6" t="s">
        <v>413</v>
      </c>
      <c r="D174" s="6" t="s">
        <v>1224</v>
      </c>
      <c r="E174" s="6" t="s">
        <v>1221</v>
      </c>
      <c r="F174" s="6">
        <v>5</v>
      </c>
      <c r="G174" s="65">
        <v>4611.8599999999997</v>
      </c>
      <c r="H174" s="6" t="s">
        <v>1213</v>
      </c>
      <c r="I174" s="6" t="s">
        <v>1214</v>
      </c>
      <c r="J174" s="6" t="s">
        <v>446</v>
      </c>
      <c r="K174" s="68">
        <f>Row_Data!$F174*Row_Data!$G174</f>
        <v>23059.3</v>
      </c>
      <c r="L174" s="69" t="str">
        <f>TEXT(Row_Data!$B174,"MMM "&amp;"YYY")</f>
        <v>Apr 2025</v>
      </c>
    </row>
    <row r="175" spans="1:12" hidden="1" x14ac:dyDescent="0.3">
      <c r="A175" s="6">
        <v>3312</v>
      </c>
      <c r="B175" s="64">
        <v>45755</v>
      </c>
      <c r="C175" s="6" t="s">
        <v>415</v>
      </c>
      <c r="D175" s="6" t="s">
        <v>1215</v>
      </c>
      <c r="E175" s="6" t="s">
        <v>1212</v>
      </c>
      <c r="F175" s="6">
        <v>1</v>
      </c>
      <c r="G175" s="65">
        <v>4146.67</v>
      </c>
      <c r="H175" s="6" t="s">
        <v>1213</v>
      </c>
      <c r="I175" s="6" t="s">
        <v>1227</v>
      </c>
      <c r="J175" s="6" t="s">
        <v>130</v>
      </c>
      <c r="K175" s="68">
        <f>Row_Data!$F175*Row_Data!$G175</f>
        <v>4146.67</v>
      </c>
      <c r="L175" s="69" t="str">
        <f>TEXT(Row_Data!$B175,"MMM "&amp;"YYY")</f>
        <v>Apr 2025</v>
      </c>
    </row>
    <row r="176" spans="1:12" hidden="1" x14ac:dyDescent="0.3">
      <c r="A176" s="6">
        <v>3124</v>
      </c>
      <c r="B176" s="64">
        <v>45757</v>
      </c>
      <c r="C176" s="6" t="s">
        <v>417</v>
      </c>
      <c r="D176" s="6" t="s">
        <v>1215</v>
      </c>
      <c r="E176" s="6" t="s">
        <v>1212</v>
      </c>
      <c r="F176" s="6">
        <v>2</v>
      </c>
      <c r="G176" s="65">
        <v>159.77000000000001</v>
      </c>
      <c r="H176" s="6" t="s">
        <v>1213</v>
      </c>
      <c r="I176" s="6" t="s">
        <v>1227</v>
      </c>
      <c r="J176" s="6" t="s">
        <v>302</v>
      </c>
      <c r="K176" s="68">
        <f>Row_Data!$F176*Row_Data!$G176</f>
        <v>319.54000000000002</v>
      </c>
      <c r="L176" s="69" t="str">
        <f>TEXT(Row_Data!$B176,"MMM "&amp;"YYY")</f>
        <v>Apr 2025</v>
      </c>
    </row>
    <row r="177" spans="1:12" hidden="1" x14ac:dyDescent="0.3">
      <c r="A177" s="6">
        <v>5129</v>
      </c>
      <c r="B177" s="64">
        <v>45758</v>
      </c>
      <c r="C177" s="6" t="s">
        <v>419</v>
      </c>
      <c r="D177" s="6" t="s">
        <v>1215</v>
      </c>
      <c r="E177" s="6" t="s">
        <v>1212</v>
      </c>
      <c r="F177" s="6">
        <v>2</v>
      </c>
      <c r="G177" s="65">
        <v>1148.96</v>
      </c>
      <c r="H177" s="6" t="s">
        <v>1213</v>
      </c>
      <c r="I177" s="6" t="s">
        <v>1227</v>
      </c>
      <c r="J177" s="6" t="s">
        <v>358</v>
      </c>
      <c r="K177" s="68">
        <f>Row_Data!$F177*Row_Data!$G177</f>
        <v>2297.92</v>
      </c>
      <c r="L177" s="69" t="str">
        <f>TEXT(Row_Data!$B177,"MMM "&amp;"YYY")</f>
        <v>Apr 2025</v>
      </c>
    </row>
    <row r="178" spans="1:12" hidden="1" x14ac:dyDescent="0.3">
      <c r="A178" s="6">
        <v>6185</v>
      </c>
      <c r="B178" s="64">
        <v>45758</v>
      </c>
      <c r="C178" s="6" t="s">
        <v>421</v>
      </c>
      <c r="D178" s="6" t="s">
        <v>1225</v>
      </c>
      <c r="E178" s="6" t="s">
        <v>1212</v>
      </c>
      <c r="F178" s="6">
        <v>5</v>
      </c>
      <c r="G178" s="65">
        <v>646.25</v>
      </c>
      <c r="H178" s="6" t="s">
        <v>1220</v>
      </c>
      <c r="I178" s="6" t="s">
        <v>1227</v>
      </c>
      <c r="J178" s="6" t="s">
        <v>126</v>
      </c>
      <c r="K178" s="68">
        <f>Row_Data!$F178*Row_Data!$G178</f>
        <v>3231.25</v>
      </c>
      <c r="L178" s="69" t="str">
        <f>TEXT(Row_Data!$B178,"MMM "&amp;"YYY")</f>
        <v>Apr 2025</v>
      </c>
    </row>
    <row r="179" spans="1:12" hidden="1" x14ac:dyDescent="0.3">
      <c r="A179" s="6">
        <v>2491</v>
      </c>
      <c r="B179" s="64">
        <v>45759</v>
      </c>
      <c r="C179" s="6" t="s">
        <v>423</v>
      </c>
      <c r="D179" s="6" t="s">
        <v>1218</v>
      </c>
      <c r="E179" s="6" t="s">
        <v>1221</v>
      </c>
      <c r="F179" s="6">
        <v>3</v>
      </c>
      <c r="G179" s="65">
        <v>4363.51</v>
      </c>
      <c r="H179" s="6" t="s">
        <v>1216</v>
      </c>
      <c r="I179" s="6" t="s">
        <v>1227</v>
      </c>
      <c r="J179" s="6" t="s">
        <v>277</v>
      </c>
      <c r="K179" s="68">
        <f>Row_Data!$F179*Row_Data!$G179</f>
        <v>13090.53</v>
      </c>
      <c r="L179" s="69" t="str">
        <f>TEXT(Row_Data!$B179,"MMM "&amp;"YYY")</f>
        <v>Apr 2025</v>
      </c>
    </row>
    <row r="180" spans="1:12" hidden="1" x14ac:dyDescent="0.3">
      <c r="A180" s="6">
        <v>2744</v>
      </c>
      <c r="B180" s="64">
        <v>45760</v>
      </c>
      <c r="C180" s="6" t="s">
        <v>425</v>
      </c>
      <c r="D180" s="6" t="s">
        <v>1211</v>
      </c>
      <c r="E180" s="6" t="s">
        <v>1221</v>
      </c>
      <c r="F180" s="6">
        <v>3</v>
      </c>
      <c r="G180" s="65">
        <v>450.54</v>
      </c>
      <c r="H180" s="6" t="s">
        <v>1216</v>
      </c>
      <c r="I180" s="6" t="s">
        <v>1217</v>
      </c>
      <c r="J180" s="6" t="s">
        <v>707</v>
      </c>
      <c r="K180" s="68">
        <f>Row_Data!$F180*Row_Data!$G180</f>
        <v>1351.6200000000001</v>
      </c>
      <c r="L180" s="69" t="str">
        <f>TEXT(Row_Data!$B180,"MMM "&amp;"YYY")</f>
        <v>Apr 2025</v>
      </c>
    </row>
    <row r="181" spans="1:12" hidden="1" x14ac:dyDescent="0.3">
      <c r="A181" s="6">
        <v>4704</v>
      </c>
      <c r="B181" s="64">
        <v>45761</v>
      </c>
      <c r="C181" s="6" t="s">
        <v>427</v>
      </c>
      <c r="D181" s="6" t="s">
        <v>1228</v>
      </c>
      <c r="E181" s="6" t="s">
        <v>1221</v>
      </c>
      <c r="F181" s="6">
        <v>1</v>
      </c>
      <c r="G181" s="65">
        <v>1380.59</v>
      </c>
      <c r="H181" s="6" t="s">
        <v>1213</v>
      </c>
      <c r="I181" s="6" t="s">
        <v>1217</v>
      </c>
      <c r="J181" s="6" t="s">
        <v>693</v>
      </c>
      <c r="K181" s="68">
        <f>Row_Data!$F181*Row_Data!$G181</f>
        <v>1380.59</v>
      </c>
      <c r="L181" s="69" t="str">
        <f>TEXT(Row_Data!$B181,"MMM "&amp;"YYY")</f>
        <v>Apr 2025</v>
      </c>
    </row>
    <row r="182" spans="1:12" hidden="1" x14ac:dyDescent="0.3">
      <c r="A182" s="6">
        <v>9243</v>
      </c>
      <c r="B182" s="64">
        <v>45762</v>
      </c>
      <c r="C182" s="6" t="s">
        <v>429</v>
      </c>
      <c r="D182" s="6" t="s">
        <v>1225</v>
      </c>
      <c r="E182" s="6" t="s">
        <v>1226</v>
      </c>
      <c r="F182" s="6">
        <v>1</v>
      </c>
      <c r="G182" s="65">
        <v>1868.68</v>
      </c>
      <c r="H182" s="6" t="s">
        <v>1220</v>
      </c>
      <c r="I182" s="6" t="s">
        <v>1217</v>
      </c>
      <c r="J182" s="6" t="s">
        <v>651</v>
      </c>
      <c r="K182" s="68">
        <f>Row_Data!$F182*Row_Data!$G182</f>
        <v>1868.68</v>
      </c>
      <c r="L182" s="69" t="str">
        <f>TEXT(Row_Data!$B182,"MMM "&amp;"YYY")</f>
        <v>Apr 2025</v>
      </c>
    </row>
    <row r="183" spans="1:12" hidden="1" x14ac:dyDescent="0.3">
      <c r="A183" s="6">
        <v>5286</v>
      </c>
      <c r="B183" s="64">
        <v>45762</v>
      </c>
      <c r="C183" s="6" t="s">
        <v>431</v>
      </c>
      <c r="D183" s="6" t="s">
        <v>1222</v>
      </c>
      <c r="E183" s="6" t="s">
        <v>1212</v>
      </c>
      <c r="F183" s="6">
        <v>4</v>
      </c>
      <c r="G183" s="65">
        <v>1426.06</v>
      </c>
      <c r="H183" s="6" t="s">
        <v>1220</v>
      </c>
      <c r="I183" s="6" t="s">
        <v>1214</v>
      </c>
      <c r="J183" s="6" t="s">
        <v>488</v>
      </c>
      <c r="K183" s="68">
        <f>Row_Data!$F183*Row_Data!$G183</f>
        <v>5704.24</v>
      </c>
      <c r="L183" s="69" t="str">
        <f>TEXT(Row_Data!$B183,"MMM "&amp;"YYY")</f>
        <v>Apr 2025</v>
      </c>
    </row>
    <row r="184" spans="1:12" hidden="1" x14ac:dyDescent="0.3">
      <c r="A184" s="6">
        <v>9606</v>
      </c>
      <c r="B184" s="64">
        <v>45764</v>
      </c>
      <c r="C184" s="6" t="s">
        <v>433</v>
      </c>
      <c r="D184" s="6" t="s">
        <v>1225</v>
      </c>
      <c r="E184" s="6" t="s">
        <v>1226</v>
      </c>
      <c r="F184" s="6">
        <v>5</v>
      </c>
      <c r="G184" s="65">
        <v>2913.91</v>
      </c>
      <c r="H184" s="6" t="s">
        <v>1216</v>
      </c>
      <c r="I184" s="6" t="s">
        <v>1217</v>
      </c>
      <c r="J184" s="6" t="s">
        <v>288</v>
      </c>
      <c r="K184" s="68">
        <f>Row_Data!$F184*Row_Data!$G184</f>
        <v>14569.55</v>
      </c>
      <c r="L184" s="69" t="str">
        <f>TEXT(Row_Data!$B184,"MMM "&amp;"YYY")</f>
        <v>Apr 2025</v>
      </c>
    </row>
    <row r="185" spans="1:12" hidden="1" x14ac:dyDescent="0.3">
      <c r="A185" s="6">
        <v>1664</v>
      </c>
      <c r="B185" s="64">
        <v>45766</v>
      </c>
      <c r="C185" s="6" t="s">
        <v>435</v>
      </c>
      <c r="D185" s="6" t="s">
        <v>1223</v>
      </c>
      <c r="E185" s="6" t="s">
        <v>1226</v>
      </c>
      <c r="F185" s="6">
        <v>1</v>
      </c>
      <c r="G185" s="65">
        <v>351.73</v>
      </c>
      <c r="H185" s="6" t="s">
        <v>1213</v>
      </c>
      <c r="I185" s="6" t="s">
        <v>1227</v>
      </c>
      <c r="J185" s="6" t="s">
        <v>532</v>
      </c>
      <c r="K185" s="68">
        <f>Row_Data!$F185*Row_Data!$G185</f>
        <v>351.73</v>
      </c>
      <c r="L185" s="69" t="str">
        <f>TEXT(Row_Data!$B185,"MMM "&amp;"YYY")</f>
        <v>Apr 2025</v>
      </c>
    </row>
    <row r="186" spans="1:12" hidden="1" x14ac:dyDescent="0.3">
      <c r="A186" s="6">
        <v>7797</v>
      </c>
      <c r="B186" s="64">
        <v>45766</v>
      </c>
      <c r="C186" s="6" t="s">
        <v>437</v>
      </c>
      <c r="D186" s="6" t="s">
        <v>1229</v>
      </c>
      <c r="E186" s="6" t="s">
        <v>1212</v>
      </c>
      <c r="F186" s="6">
        <v>5</v>
      </c>
      <c r="G186" s="65">
        <v>2982.78</v>
      </c>
      <c r="H186" s="6" t="s">
        <v>1220</v>
      </c>
      <c r="I186" s="6" t="s">
        <v>1217</v>
      </c>
      <c r="J186" s="6" t="s">
        <v>629</v>
      </c>
      <c r="K186" s="68">
        <f>Row_Data!$F186*Row_Data!$G186</f>
        <v>14913.900000000001</v>
      </c>
      <c r="L186" s="69" t="str">
        <f>TEXT(Row_Data!$B186,"MMM "&amp;"YYY")</f>
        <v>Apr 2025</v>
      </c>
    </row>
    <row r="187" spans="1:12" hidden="1" x14ac:dyDescent="0.3">
      <c r="A187" s="6">
        <v>1540</v>
      </c>
      <c r="B187" s="64">
        <v>45766</v>
      </c>
      <c r="C187" s="6" t="s">
        <v>439</v>
      </c>
      <c r="D187" s="6" t="s">
        <v>1211</v>
      </c>
      <c r="E187" s="6" t="s">
        <v>1212</v>
      </c>
      <c r="F187" s="6">
        <v>5</v>
      </c>
      <c r="G187" s="65">
        <v>800.33</v>
      </c>
      <c r="H187" s="6" t="s">
        <v>1220</v>
      </c>
      <c r="I187" s="6" t="s">
        <v>1227</v>
      </c>
      <c r="J187" s="6" t="s">
        <v>166</v>
      </c>
      <c r="K187" s="68">
        <f>Row_Data!$F187*Row_Data!$G187</f>
        <v>4001.65</v>
      </c>
      <c r="L187" s="69" t="str">
        <f>TEXT(Row_Data!$B187,"MMM "&amp;"YYY")</f>
        <v>Apr 2025</v>
      </c>
    </row>
    <row r="188" spans="1:12" hidden="1" x14ac:dyDescent="0.3">
      <c r="A188" s="6">
        <v>1796</v>
      </c>
      <c r="B188" s="64">
        <v>45767</v>
      </c>
      <c r="C188" s="6" t="s">
        <v>441</v>
      </c>
      <c r="D188" s="6" t="s">
        <v>1218</v>
      </c>
      <c r="E188" s="6" t="s">
        <v>1221</v>
      </c>
      <c r="F188" s="6">
        <v>5</v>
      </c>
      <c r="G188" s="65">
        <v>1733.14</v>
      </c>
      <c r="H188" s="6" t="s">
        <v>1216</v>
      </c>
      <c r="I188" s="6" t="s">
        <v>1217</v>
      </c>
      <c r="J188" s="6" t="s">
        <v>593</v>
      </c>
      <c r="K188" s="68">
        <f>Row_Data!$F188*Row_Data!$G188</f>
        <v>8665.7000000000007</v>
      </c>
      <c r="L188" s="69" t="str">
        <f>TEXT(Row_Data!$B188,"MMM "&amp;"YYY")</f>
        <v>Apr 2025</v>
      </c>
    </row>
    <row r="189" spans="1:12" hidden="1" x14ac:dyDescent="0.3">
      <c r="A189" s="6">
        <v>5652</v>
      </c>
      <c r="B189" s="64">
        <v>45768</v>
      </c>
      <c r="C189" s="6" t="s">
        <v>443</v>
      </c>
      <c r="D189" s="6" t="s">
        <v>1223</v>
      </c>
      <c r="E189" s="6" t="s">
        <v>1221</v>
      </c>
      <c r="F189" s="6">
        <v>1</v>
      </c>
      <c r="G189" s="65">
        <v>2091.38</v>
      </c>
      <c r="H189" s="6" t="s">
        <v>1220</v>
      </c>
      <c r="I189" s="6" t="s">
        <v>1227</v>
      </c>
      <c r="J189" s="6" t="s">
        <v>420</v>
      </c>
      <c r="K189" s="68">
        <f>Row_Data!$F189*Row_Data!$G189</f>
        <v>2091.38</v>
      </c>
      <c r="L189" s="69" t="str">
        <f>TEXT(Row_Data!$B189,"MMM "&amp;"YYY")</f>
        <v>Apr 2025</v>
      </c>
    </row>
    <row r="190" spans="1:12" hidden="1" x14ac:dyDescent="0.3">
      <c r="A190" s="6">
        <v>1754</v>
      </c>
      <c r="B190" s="64">
        <v>45768</v>
      </c>
      <c r="C190" s="6" t="s">
        <v>445</v>
      </c>
      <c r="D190" s="6" t="s">
        <v>1228</v>
      </c>
      <c r="E190" s="6" t="s">
        <v>1212</v>
      </c>
      <c r="F190" s="6">
        <v>1</v>
      </c>
      <c r="G190" s="65">
        <v>4249.74</v>
      </c>
      <c r="H190" s="6" t="s">
        <v>1213</v>
      </c>
      <c r="I190" s="6" t="s">
        <v>1217</v>
      </c>
      <c r="J190" s="6" t="s">
        <v>603</v>
      </c>
      <c r="K190" s="68">
        <f>Row_Data!$F190*Row_Data!$G190</f>
        <v>4249.74</v>
      </c>
      <c r="L190" s="69" t="str">
        <f>TEXT(Row_Data!$B190,"MMM "&amp;"YYY")</f>
        <v>Apr 2025</v>
      </c>
    </row>
    <row r="191" spans="1:12" hidden="1" x14ac:dyDescent="0.3">
      <c r="A191" s="6">
        <v>2966</v>
      </c>
      <c r="B191" s="64">
        <v>45769</v>
      </c>
      <c r="C191" s="6" t="s">
        <v>447</v>
      </c>
      <c r="D191" s="6" t="s">
        <v>1224</v>
      </c>
      <c r="E191" s="6" t="s">
        <v>1226</v>
      </c>
      <c r="F191" s="6">
        <v>3</v>
      </c>
      <c r="G191" s="65">
        <v>2394.39</v>
      </c>
      <c r="H191" s="6" t="s">
        <v>1216</v>
      </c>
      <c r="I191" s="6" t="s">
        <v>1227</v>
      </c>
      <c r="J191" s="6" t="s">
        <v>653</v>
      </c>
      <c r="K191" s="68">
        <f>Row_Data!$F191*Row_Data!$G191</f>
        <v>7183.17</v>
      </c>
      <c r="L191" s="69" t="str">
        <f>TEXT(Row_Data!$B191,"MMM "&amp;"YYY")</f>
        <v>Apr 2025</v>
      </c>
    </row>
    <row r="192" spans="1:12" hidden="1" x14ac:dyDescent="0.3">
      <c r="A192" s="6">
        <v>6193</v>
      </c>
      <c r="B192" s="64">
        <v>45769</v>
      </c>
      <c r="C192" s="6" t="s">
        <v>449</v>
      </c>
      <c r="D192" s="6" t="s">
        <v>1218</v>
      </c>
      <c r="E192" s="6" t="s">
        <v>1226</v>
      </c>
      <c r="F192" s="6">
        <v>4</v>
      </c>
      <c r="G192" s="65">
        <v>2927.34</v>
      </c>
      <c r="H192" s="6" t="s">
        <v>1220</v>
      </c>
      <c r="I192" s="6" t="s">
        <v>1214</v>
      </c>
      <c r="J192" s="6" t="s">
        <v>605</v>
      </c>
      <c r="K192" s="68">
        <f>Row_Data!$F192*Row_Data!$G192</f>
        <v>11709.36</v>
      </c>
      <c r="L192" s="69" t="str">
        <f>TEXT(Row_Data!$B192,"MMM "&amp;"YYY")</f>
        <v>Apr 2025</v>
      </c>
    </row>
    <row r="193" spans="1:12" hidden="1" x14ac:dyDescent="0.3">
      <c r="A193" s="6">
        <v>6326</v>
      </c>
      <c r="B193" s="64">
        <v>45771</v>
      </c>
      <c r="C193" s="6" t="s">
        <v>451</v>
      </c>
      <c r="D193" s="6" t="s">
        <v>1225</v>
      </c>
      <c r="E193" s="6" t="s">
        <v>1221</v>
      </c>
      <c r="F193" s="6">
        <v>4</v>
      </c>
      <c r="G193" s="65">
        <v>384.26</v>
      </c>
      <c r="H193" s="6" t="s">
        <v>1213</v>
      </c>
      <c r="I193" s="6" t="s">
        <v>1217</v>
      </c>
      <c r="J193" s="6" t="s">
        <v>599</v>
      </c>
      <c r="K193" s="68">
        <f>Row_Data!$F193*Row_Data!$G193</f>
        <v>1537.04</v>
      </c>
      <c r="L193" s="69" t="str">
        <f>TEXT(Row_Data!$B193,"MMM "&amp;"YYY")</f>
        <v>Apr 2025</v>
      </c>
    </row>
    <row r="194" spans="1:12" hidden="1" x14ac:dyDescent="0.3">
      <c r="A194" s="6">
        <v>8518</v>
      </c>
      <c r="B194" s="64">
        <v>45772</v>
      </c>
      <c r="C194" s="6" t="s">
        <v>453</v>
      </c>
      <c r="D194" s="6" t="s">
        <v>1211</v>
      </c>
      <c r="E194" s="6" t="s">
        <v>1212</v>
      </c>
      <c r="F194" s="6">
        <v>5</v>
      </c>
      <c r="G194" s="65">
        <v>4594.75</v>
      </c>
      <c r="H194" s="6" t="s">
        <v>1213</v>
      </c>
      <c r="I194" s="6" t="s">
        <v>1217</v>
      </c>
      <c r="J194" s="6" t="s">
        <v>472</v>
      </c>
      <c r="K194" s="68">
        <f>Row_Data!$F194*Row_Data!$G194</f>
        <v>22973.75</v>
      </c>
      <c r="L194" s="69" t="str">
        <f>TEXT(Row_Data!$B194,"MMM "&amp;"YYY")</f>
        <v>Apr 2025</v>
      </c>
    </row>
    <row r="195" spans="1:12" hidden="1" x14ac:dyDescent="0.3">
      <c r="A195" s="6">
        <v>5461</v>
      </c>
      <c r="B195" s="64">
        <v>45772</v>
      </c>
      <c r="C195" s="6" t="s">
        <v>455</v>
      </c>
      <c r="D195" s="6" t="s">
        <v>1229</v>
      </c>
      <c r="E195" s="6" t="s">
        <v>1212</v>
      </c>
      <c r="F195" s="6">
        <v>2</v>
      </c>
      <c r="G195" s="65">
        <v>2269.5</v>
      </c>
      <c r="H195" s="6" t="s">
        <v>1220</v>
      </c>
      <c r="I195" s="6" t="s">
        <v>1217</v>
      </c>
      <c r="J195" s="6" t="s">
        <v>366</v>
      </c>
      <c r="K195" s="68">
        <f>Row_Data!$F195*Row_Data!$G195</f>
        <v>4539</v>
      </c>
      <c r="L195" s="69" t="str">
        <f>TEXT(Row_Data!$B195,"MMM "&amp;"YYY")</f>
        <v>Apr 2025</v>
      </c>
    </row>
    <row r="196" spans="1:12" hidden="1" x14ac:dyDescent="0.3">
      <c r="A196" s="6">
        <v>2830</v>
      </c>
      <c r="B196" s="64">
        <v>45772</v>
      </c>
      <c r="C196" s="6" t="s">
        <v>457</v>
      </c>
      <c r="D196" s="6" t="s">
        <v>1218</v>
      </c>
      <c r="E196" s="6" t="s">
        <v>1212</v>
      </c>
      <c r="F196" s="6">
        <v>2</v>
      </c>
      <c r="G196" s="65">
        <v>590.11</v>
      </c>
      <c r="H196" s="6" t="s">
        <v>1213</v>
      </c>
      <c r="I196" s="6" t="s">
        <v>1214</v>
      </c>
      <c r="J196" s="6" t="s">
        <v>124</v>
      </c>
      <c r="K196" s="68">
        <f>Row_Data!$F196*Row_Data!$G196</f>
        <v>1180.22</v>
      </c>
      <c r="L196" s="69" t="str">
        <f>TEXT(Row_Data!$B196,"MMM "&amp;"YYY")</f>
        <v>Apr 2025</v>
      </c>
    </row>
    <row r="197" spans="1:12" hidden="1" x14ac:dyDescent="0.3">
      <c r="A197" s="6">
        <v>8464</v>
      </c>
      <c r="B197" s="64">
        <v>45773</v>
      </c>
      <c r="C197" s="6" t="s">
        <v>459</v>
      </c>
      <c r="D197" s="6" t="s">
        <v>1229</v>
      </c>
      <c r="E197" s="6" t="s">
        <v>1226</v>
      </c>
      <c r="F197" s="6">
        <v>1</v>
      </c>
      <c r="G197" s="65">
        <v>795.7</v>
      </c>
      <c r="H197" s="6" t="s">
        <v>1216</v>
      </c>
      <c r="I197" s="6" t="s">
        <v>1214</v>
      </c>
      <c r="J197" s="6" t="s">
        <v>96</v>
      </c>
      <c r="K197" s="68">
        <f>Row_Data!$F197*Row_Data!$G197</f>
        <v>795.7</v>
      </c>
      <c r="L197" s="69" t="str">
        <f>TEXT(Row_Data!$B197,"MMM "&amp;"YYY")</f>
        <v>Apr 2025</v>
      </c>
    </row>
    <row r="198" spans="1:12" hidden="1" x14ac:dyDescent="0.3">
      <c r="A198" s="6">
        <v>7793</v>
      </c>
      <c r="B198" s="64">
        <v>45776</v>
      </c>
      <c r="C198" s="6" t="s">
        <v>461</v>
      </c>
      <c r="D198" s="6" t="s">
        <v>1219</v>
      </c>
      <c r="E198" s="6" t="s">
        <v>1226</v>
      </c>
      <c r="F198" s="6">
        <v>4</v>
      </c>
      <c r="G198" s="65">
        <v>3555.69</v>
      </c>
      <c r="H198" s="6" t="s">
        <v>1216</v>
      </c>
      <c r="I198" s="6" t="s">
        <v>1217</v>
      </c>
      <c r="J198" s="6" t="s">
        <v>326</v>
      </c>
      <c r="K198" s="68">
        <f>Row_Data!$F198*Row_Data!$G198</f>
        <v>14222.76</v>
      </c>
      <c r="L198" s="69" t="str">
        <f>TEXT(Row_Data!$B198,"MMM "&amp;"YYY")</f>
        <v>Apr 2025</v>
      </c>
    </row>
    <row r="199" spans="1:12" hidden="1" x14ac:dyDescent="0.3">
      <c r="A199" s="6">
        <v>4019</v>
      </c>
      <c r="B199" s="64">
        <v>45777</v>
      </c>
      <c r="C199" s="6" t="s">
        <v>463</v>
      </c>
      <c r="D199" s="6" t="s">
        <v>1223</v>
      </c>
      <c r="E199" s="6" t="s">
        <v>1221</v>
      </c>
      <c r="F199" s="6">
        <v>4</v>
      </c>
      <c r="G199" s="65">
        <v>2548.65</v>
      </c>
      <c r="H199" s="6" t="s">
        <v>1216</v>
      </c>
      <c r="I199" s="6" t="s">
        <v>1214</v>
      </c>
      <c r="J199" s="6" t="s">
        <v>82</v>
      </c>
      <c r="K199" s="68">
        <f>Row_Data!$F199*Row_Data!$G199</f>
        <v>10194.6</v>
      </c>
      <c r="L199" s="69" t="str">
        <f>TEXT(Row_Data!$B199,"MMM "&amp;"YYY")</f>
        <v>Apr 2025</v>
      </c>
    </row>
    <row r="200" spans="1:12" hidden="1" x14ac:dyDescent="0.3">
      <c r="A200" s="6">
        <v>8447</v>
      </c>
      <c r="B200" s="64">
        <v>45777</v>
      </c>
      <c r="C200" s="6" t="s">
        <v>465</v>
      </c>
      <c r="D200" s="6" t="s">
        <v>1211</v>
      </c>
      <c r="E200" s="6" t="s">
        <v>1226</v>
      </c>
      <c r="F200" s="6">
        <v>1</v>
      </c>
      <c r="G200" s="65">
        <v>3978.08</v>
      </c>
      <c r="H200" s="6" t="s">
        <v>1220</v>
      </c>
      <c r="I200" s="6" t="s">
        <v>1227</v>
      </c>
      <c r="J200" s="6" t="s">
        <v>80</v>
      </c>
      <c r="K200" s="68">
        <f>Row_Data!$F200*Row_Data!$G200</f>
        <v>3978.08</v>
      </c>
      <c r="L200" s="69" t="str">
        <f>TEXT(Row_Data!$B200,"MMM "&amp;"YYY")</f>
        <v>Apr 2025</v>
      </c>
    </row>
    <row r="201" spans="1:12" hidden="1" x14ac:dyDescent="0.3">
      <c r="A201" s="6">
        <v>6195</v>
      </c>
      <c r="B201" s="64">
        <v>45778</v>
      </c>
      <c r="C201" s="6" t="s">
        <v>467</v>
      </c>
      <c r="D201" s="6" t="s">
        <v>1218</v>
      </c>
      <c r="E201" s="6" t="s">
        <v>1221</v>
      </c>
      <c r="F201" s="6">
        <v>3</v>
      </c>
      <c r="G201" s="65">
        <v>3216.42</v>
      </c>
      <c r="H201" s="6" t="s">
        <v>1220</v>
      </c>
      <c r="I201" s="6" t="s">
        <v>1214</v>
      </c>
      <c r="J201" s="6" t="s">
        <v>665</v>
      </c>
      <c r="K201" s="68">
        <f>Row_Data!$F201*Row_Data!$G201</f>
        <v>9649.26</v>
      </c>
      <c r="L201" s="69" t="str">
        <f>TEXT(Row_Data!$B201,"MMM "&amp;"YYY")</f>
        <v>May 2025</v>
      </c>
    </row>
    <row r="202" spans="1:12" hidden="1" x14ac:dyDescent="0.3">
      <c r="A202" s="6">
        <v>9444</v>
      </c>
      <c r="B202" s="64">
        <v>45778</v>
      </c>
      <c r="C202" s="6" t="s">
        <v>469</v>
      </c>
      <c r="D202" s="6" t="s">
        <v>1211</v>
      </c>
      <c r="E202" s="6" t="s">
        <v>1212</v>
      </c>
      <c r="F202" s="6">
        <v>4</v>
      </c>
      <c r="G202" s="65">
        <v>3759.58</v>
      </c>
      <c r="H202" s="6" t="s">
        <v>1213</v>
      </c>
      <c r="I202" s="6" t="s">
        <v>1217</v>
      </c>
      <c r="J202" s="6" t="s">
        <v>669</v>
      </c>
      <c r="K202" s="68">
        <f>Row_Data!$F202*Row_Data!$G202</f>
        <v>15038.32</v>
      </c>
      <c r="L202" s="69" t="str">
        <f>TEXT(Row_Data!$B202,"MMM "&amp;"YYY")</f>
        <v>May 2025</v>
      </c>
    </row>
    <row r="203" spans="1:12" hidden="1" x14ac:dyDescent="0.3">
      <c r="A203" s="6">
        <v>8631</v>
      </c>
      <c r="B203" s="64">
        <v>45778</v>
      </c>
      <c r="C203" s="6" t="s">
        <v>471</v>
      </c>
      <c r="D203" s="6" t="s">
        <v>1229</v>
      </c>
      <c r="E203" s="6" t="s">
        <v>1221</v>
      </c>
      <c r="F203" s="6">
        <v>5</v>
      </c>
      <c r="G203" s="65">
        <v>432.3</v>
      </c>
      <c r="H203" s="6" t="s">
        <v>1213</v>
      </c>
      <c r="I203" s="6" t="s">
        <v>1214</v>
      </c>
      <c r="J203" s="6" t="s">
        <v>306</v>
      </c>
      <c r="K203" s="68">
        <f>Row_Data!$F203*Row_Data!$G203</f>
        <v>2161.5</v>
      </c>
      <c r="L203" s="69" t="str">
        <f>TEXT(Row_Data!$B203,"MMM "&amp;"YYY")</f>
        <v>May 2025</v>
      </c>
    </row>
    <row r="204" spans="1:12" hidden="1" x14ac:dyDescent="0.3">
      <c r="A204" s="6">
        <v>8932</v>
      </c>
      <c r="B204" s="64">
        <v>45779</v>
      </c>
      <c r="C204" s="6" t="s">
        <v>473</v>
      </c>
      <c r="D204" s="6" t="s">
        <v>1228</v>
      </c>
      <c r="E204" s="6" t="s">
        <v>1226</v>
      </c>
      <c r="F204" s="6">
        <v>5</v>
      </c>
      <c r="G204" s="65">
        <v>711.32</v>
      </c>
      <c r="H204" s="6" t="s">
        <v>1213</v>
      </c>
      <c r="I204" s="6" t="s">
        <v>1227</v>
      </c>
      <c r="J204" s="6" t="s">
        <v>237</v>
      </c>
      <c r="K204" s="68">
        <f>Row_Data!$F204*Row_Data!$G204</f>
        <v>3556.6000000000004</v>
      </c>
      <c r="L204" s="69" t="str">
        <f>TEXT(Row_Data!$B204,"MMM "&amp;"YYY")</f>
        <v>May 2025</v>
      </c>
    </row>
    <row r="205" spans="1:12" hidden="1" x14ac:dyDescent="0.3">
      <c r="A205" s="6">
        <v>1062</v>
      </c>
      <c r="B205" s="64">
        <v>45780</v>
      </c>
      <c r="C205" s="6" t="s">
        <v>475</v>
      </c>
      <c r="D205" s="6" t="s">
        <v>1211</v>
      </c>
      <c r="E205" s="6" t="s">
        <v>1212</v>
      </c>
      <c r="F205" s="6">
        <v>1</v>
      </c>
      <c r="G205" s="65">
        <v>3977.43</v>
      </c>
      <c r="H205" s="6" t="s">
        <v>1220</v>
      </c>
      <c r="I205" s="6" t="s">
        <v>1214</v>
      </c>
      <c r="J205" s="6" t="s">
        <v>615</v>
      </c>
      <c r="K205" s="68">
        <f>Row_Data!$F205*Row_Data!$G205</f>
        <v>3977.43</v>
      </c>
      <c r="L205" s="69" t="str">
        <f>TEXT(Row_Data!$B205,"MMM "&amp;"YYY")</f>
        <v>May 2025</v>
      </c>
    </row>
    <row r="206" spans="1:12" hidden="1" x14ac:dyDescent="0.3">
      <c r="A206" s="6">
        <v>7219</v>
      </c>
      <c r="B206" s="64">
        <v>45780</v>
      </c>
      <c r="C206" s="6" t="s">
        <v>477</v>
      </c>
      <c r="D206" s="6" t="s">
        <v>1225</v>
      </c>
      <c r="E206" s="6" t="s">
        <v>1226</v>
      </c>
      <c r="F206" s="6">
        <v>3</v>
      </c>
      <c r="G206" s="65">
        <v>3190.11</v>
      </c>
      <c r="H206" s="6" t="s">
        <v>1220</v>
      </c>
      <c r="I206" s="6" t="s">
        <v>1214</v>
      </c>
      <c r="J206" s="6" t="s">
        <v>352</v>
      </c>
      <c r="K206" s="68">
        <f>Row_Data!$F206*Row_Data!$G206</f>
        <v>9570.33</v>
      </c>
      <c r="L206" s="69" t="str">
        <f>TEXT(Row_Data!$B206,"MMM "&amp;"YYY")</f>
        <v>May 2025</v>
      </c>
    </row>
    <row r="207" spans="1:12" hidden="1" x14ac:dyDescent="0.3">
      <c r="A207" s="6">
        <v>5174</v>
      </c>
      <c r="B207" s="64">
        <v>45780</v>
      </c>
      <c r="C207" s="6" t="s">
        <v>479</v>
      </c>
      <c r="D207" s="6" t="s">
        <v>1225</v>
      </c>
      <c r="E207" s="6" t="s">
        <v>1221</v>
      </c>
      <c r="F207" s="6">
        <v>5</v>
      </c>
      <c r="G207" s="65">
        <v>3916.03</v>
      </c>
      <c r="H207" s="6" t="s">
        <v>1220</v>
      </c>
      <c r="I207" s="6" t="s">
        <v>1227</v>
      </c>
      <c r="J207" s="6" t="s">
        <v>186</v>
      </c>
      <c r="K207" s="68">
        <f>Row_Data!$F207*Row_Data!$G207</f>
        <v>19580.150000000001</v>
      </c>
      <c r="L207" s="69" t="str">
        <f>TEXT(Row_Data!$B207,"MMM "&amp;"YYY")</f>
        <v>May 2025</v>
      </c>
    </row>
    <row r="208" spans="1:12" hidden="1" x14ac:dyDescent="0.3">
      <c r="A208" s="6">
        <v>4550</v>
      </c>
      <c r="B208" s="64">
        <v>45781</v>
      </c>
      <c r="C208" s="6" t="s">
        <v>481</v>
      </c>
      <c r="D208" s="6" t="s">
        <v>1228</v>
      </c>
      <c r="E208" s="6" t="s">
        <v>1221</v>
      </c>
      <c r="F208" s="6">
        <v>4</v>
      </c>
      <c r="G208" s="65">
        <v>3519.79</v>
      </c>
      <c r="H208" s="6" t="s">
        <v>1216</v>
      </c>
      <c r="I208" s="6" t="s">
        <v>1214</v>
      </c>
      <c r="J208" s="6" t="s">
        <v>362</v>
      </c>
      <c r="K208" s="68">
        <f>Row_Data!$F208*Row_Data!$G208</f>
        <v>14079.16</v>
      </c>
      <c r="L208" s="69" t="str">
        <f>TEXT(Row_Data!$B208,"MMM "&amp;"YYY")</f>
        <v>May 2025</v>
      </c>
    </row>
    <row r="209" spans="1:12" hidden="1" x14ac:dyDescent="0.3">
      <c r="A209" s="6">
        <v>6463</v>
      </c>
      <c r="B209" s="64">
        <v>45781</v>
      </c>
      <c r="C209" s="6" t="s">
        <v>483</v>
      </c>
      <c r="D209" s="6" t="s">
        <v>1219</v>
      </c>
      <c r="E209" s="6" t="s">
        <v>1212</v>
      </c>
      <c r="F209" s="6">
        <v>5</v>
      </c>
      <c r="G209" s="65">
        <v>4230</v>
      </c>
      <c r="H209" s="6" t="s">
        <v>1216</v>
      </c>
      <c r="I209" s="6" t="s">
        <v>1227</v>
      </c>
      <c r="J209" s="6" t="s">
        <v>565</v>
      </c>
      <c r="K209" s="68">
        <f>Row_Data!$F209*Row_Data!$G209</f>
        <v>21150</v>
      </c>
      <c r="L209" s="69" t="str">
        <f>TEXT(Row_Data!$B209,"MMM "&amp;"YYY")</f>
        <v>May 2025</v>
      </c>
    </row>
    <row r="210" spans="1:12" hidden="1" x14ac:dyDescent="0.3">
      <c r="A210" s="6">
        <v>5439</v>
      </c>
      <c r="B210" s="64">
        <v>45781</v>
      </c>
      <c r="C210" s="6" t="s">
        <v>485</v>
      </c>
      <c r="D210" s="6" t="s">
        <v>1215</v>
      </c>
      <c r="E210" s="6" t="s">
        <v>1212</v>
      </c>
      <c r="F210" s="6">
        <v>3</v>
      </c>
      <c r="G210" s="65">
        <v>4214.1099999999997</v>
      </c>
      <c r="H210" s="6" t="s">
        <v>1220</v>
      </c>
      <c r="I210" s="6" t="s">
        <v>1214</v>
      </c>
      <c r="J210" s="6" t="s">
        <v>402</v>
      </c>
      <c r="K210" s="68">
        <f>Row_Data!$F210*Row_Data!$G210</f>
        <v>12642.329999999998</v>
      </c>
      <c r="L210" s="69" t="str">
        <f>TEXT(Row_Data!$B210,"MMM "&amp;"YYY")</f>
        <v>May 2025</v>
      </c>
    </row>
    <row r="211" spans="1:12" hidden="1" x14ac:dyDescent="0.3">
      <c r="A211" s="6">
        <v>1021</v>
      </c>
      <c r="B211" s="64">
        <v>45782</v>
      </c>
      <c r="C211" s="6" t="s">
        <v>487</v>
      </c>
      <c r="D211" s="6" t="s">
        <v>1222</v>
      </c>
      <c r="E211" s="6" t="s">
        <v>1226</v>
      </c>
      <c r="F211" s="6">
        <v>4</v>
      </c>
      <c r="G211" s="65">
        <v>4613.29</v>
      </c>
      <c r="H211" s="6" t="s">
        <v>1216</v>
      </c>
      <c r="I211" s="6" t="s">
        <v>1227</v>
      </c>
      <c r="J211" s="6" t="s">
        <v>86</v>
      </c>
      <c r="K211" s="68">
        <f>Row_Data!$F211*Row_Data!$G211</f>
        <v>18453.16</v>
      </c>
      <c r="L211" s="69" t="str">
        <f>TEXT(Row_Data!$B211,"MMM "&amp;"YYY")</f>
        <v>May 2025</v>
      </c>
    </row>
    <row r="212" spans="1:12" hidden="1" x14ac:dyDescent="0.3">
      <c r="A212" s="6">
        <v>5902</v>
      </c>
      <c r="B212" s="64">
        <v>45782</v>
      </c>
      <c r="C212" s="6" t="s">
        <v>489</v>
      </c>
      <c r="D212" s="6" t="s">
        <v>1218</v>
      </c>
      <c r="E212" s="6" t="s">
        <v>1212</v>
      </c>
      <c r="F212" s="6">
        <v>2</v>
      </c>
      <c r="G212" s="65">
        <v>1529.94</v>
      </c>
      <c r="H212" s="6" t="s">
        <v>1216</v>
      </c>
      <c r="I212" s="6" t="s">
        <v>1214</v>
      </c>
      <c r="J212" s="6" t="s">
        <v>320</v>
      </c>
      <c r="K212" s="68">
        <f>Row_Data!$F212*Row_Data!$G212</f>
        <v>3059.88</v>
      </c>
      <c r="L212" s="69" t="str">
        <f>TEXT(Row_Data!$B212,"MMM "&amp;"YYY")</f>
        <v>May 2025</v>
      </c>
    </row>
    <row r="213" spans="1:12" hidden="1" x14ac:dyDescent="0.3">
      <c r="A213" s="6">
        <v>9226</v>
      </c>
      <c r="B213" s="64">
        <v>45782</v>
      </c>
      <c r="C213" s="6" t="s">
        <v>491</v>
      </c>
      <c r="D213" s="6" t="s">
        <v>1228</v>
      </c>
      <c r="E213" s="6" t="s">
        <v>1226</v>
      </c>
      <c r="F213" s="6">
        <v>1</v>
      </c>
      <c r="G213" s="65">
        <v>2608.48</v>
      </c>
      <c r="H213" s="6" t="s">
        <v>1213</v>
      </c>
      <c r="I213" s="6" t="s">
        <v>1217</v>
      </c>
      <c r="J213" s="6" t="s">
        <v>480</v>
      </c>
      <c r="K213" s="68">
        <f>Row_Data!$F213*Row_Data!$G213</f>
        <v>2608.48</v>
      </c>
      <c r="L213" s="69" t="str">
        <f>TEXT(Row_Data!$B213,"MMM "&amp;"YYY")</f>
        <v>May 2025</v>
      </c>
    </row>
    <row r="214" spans="1:12" hidden="1" x14ac:dyDescent="0.3">
      <c r="A214" s="6">
        <v>3156</v>
      </c>
      <c r="B214" s="64">
        <v>45782</v>
      </c>
      <c r="C214" s="6" t="s">
        <v>493</v>
      </c>
      <c r="D214" s="6" t="s">
        <v>1219</v>
      </c>
      <c r="E214" s="6" t="s">
        <v>1221</v>
      </c>
      <c r="F214" s="6">
        <v>1</v>
      </c>
      <c r="G214" s="65">
        <v>4459.2299999999996</v>
      </c>
      <c r="H214" s="6" t="s">
        <v>1220</v>
      </c>
      <c r="I214" s="6" t="s">
        <v>1214</v>
      </c>
      <c r="J214" s="6" t="s">
        <v>330</v>
      </c>
      <c r="K214" s="68">
        <f>Row_Data!$F214*Row_Data!$G214</f>
        <v>4459.2299999999996</v>
      </c>
      <c r="L214" s="69" t="str">
        <f>TEXT(Row_Data!$B214,"MMM "&amp;"YYY")</f>
        <v>May 2025</v>
      </c>
    </row>
    <row r="215" spans="1:12" hidden="1" x14ac:dyDescent="0.3">
      <c r="A215" s="6">
        <v>2975</v>
      </c>
      <c r="B215" s="64">
        <v>45783</v>
      </c>
      <c r="C215" s="6" t="s">
        <v>495</v>
      </c>
      <c r="D215" s="6" t="s">
        <v>1215</v>
      </c>
      <c r="E215" s="6" t="s">
        <v>1221</v>
      </c>
      <c r="F215" s="6">
        <v>1</v>
      </c>
      <c r="G215" s="65">
        <v>4066.68</v>
      </c>
      <c r="H215" s="6" t="s">
        <v>1216</v>
      </c>
      <c r="I215" s="6" t="s">
        <v>1217</v>
      </c>
      <c r="J215" s="6" t="s">
        <v>544</v>
      </c>
      <c r="K215" s="68">
        <f>Row_Data!$F215*Row_Data!$G215</f>
        <v>4066.68</v>
      </c>
      <c r="L215" s="69" t="str">
        <f>TEXT(Row_Data!$B215,"MMM "&amp;"YYY")</f>
        <v>May 2025</v>
      </c>
    </row>
    <row r="216" spans="1:12" hidden="1" x14ac:dyDescent="0.3">
      <c r="A216" s="6">
        <v>3569</v>
      </c>
      <c r="B216" s="64">
        <v>45783</v>
      </c>
      <c r="C216" s="6" t="s">
        <v>497</v>
      </c>
      <c r="D216" s="6" t="s">
        <v>1229</v>
      </c>
      <c r="E216" s="6" t="s">
        <v>1212</v>
      </c>
      <c r="F216" s="6">
        <v>2</v>
      </c>
      <c r="G216" s="65">
        <v>3096.15</v>
      </c>
      <c r="H216" s="6" t="s">
        <v>1220</v>
      </c>
      <c r="I216" s="6" t="s">
        <v>1217</v>
      </c>
      <c r="J216" s="6" t="s">
        <v>659</v>
      </c>
      <c r="K216" s="68">
        <f>Row_Data!$F216*Row_Data!$G216</f>
        <v>6192.3</v>
      </c>
      <c r="L216" s="69" t="str">
        <f>TEXT(Row_Data!$B216,"MMM "&amp;"YYY")</f>
        <v>May 2025</v>
      </c>
    </row>
    <row r="217" spans="1:12" hidden="1" x14ac:dyDescent="0.3">
      <c r="A217" s="6">
        <v>8799</v>
      </c>
      <c r="B217" s="64">
        <v>45783</v>
      </c>
      <c r="C217" s="6" t="s">
        <v>499</v>
      </c>
      <c r="D217" s="6" t="s">
        <v>1229</v>
      </c>
      <c r="E217" s="6" t="s">
        <v>1226</v>
      </c>
      <c r="F217" s="6">
        <v>4</v>
      </c>
      <c r="G217" s="65">
        <v>2045.46</v>
      </c>
      <c r="H217" s="6" t="s">
        <v>1220</v>
      </c>
      <c r="I217" s="6" t="s">
        <v>1214</v>
      </c>
      <c r="J217" s="6" t="s">
        <v>577</v>
      </c>
      <c r="K217" s="68">
        <f>Row_Data!$F217*Row_Data!$G217</f>
        <v>8181.84</v>
      </c>
      <c r="L217" s="69" t="str">
        <f>TEXT(Row_Data!$B217,"MMM "&amp;"YYY")</f>
        <v>May 2025</v>
      </c>
    </row>
    <row r="218" spans="1:12" hidden="1" x14ac:dyDescent="0.3">
      <c r="A218" s="6">
        <v>5803</v>
      </c>
      <c r="B218" s="64">
        <v>45784</v>
      </c>
      <c r="C218" s="6" t="s">
        <v>501</v>
      </c>
      <c r="D218" s="6" t="s">
        <v>1224</v>
      </c>
      <c r="E218" s="6" t="s">
        <v>1212</v>
      </c>
      <c r="F218" s="6">
        <v>5</v>
      </c>
      <c r="G218" s="65">
        <v>3413.11</v>
      </c>
      <c r="H218" s="6" t="s">
        <v>1216</v>
      </c>
      <c r="I218" s="6" t="s">
        <v>1217</v>
      </c>
      <c r="J218" s="6" t="s">
        <v>378</v>
      </c>
      <c r="K218" s="68">
        <f>Row_Data!$F218*Row_Data!$G218</f>
        <v>17065.55</v>
      </c>
      <c r="L218" s="69" t="str">
        <f>TEXT(Row_Data!$B218,"MMM "&amp;"YYY")</f>
        <v>May 2025</v>
      </c>
    </row>
    <row r="219" spans="1:12" hidden="1" x14ac:dyDescent="0.3">
      <c r="A219" s="6">
        <v>2215</v>
      </c>
      <c r="B219" s="64">
        <v>45784</v>
      </c>
      <c r="C219" s="6" t="s">
        <v>503</v>
      </c>
      <c r="D219" s="6" t="s">
        <v>1218</v>
      </c>
      <c r="E219" s="6" t="s">
        <v>1226</v>
      </c>
      <c r="F219" s="6">
        <v>3</v>
      </c>
      <c r="G219" s="65">
        <v>4930.79</v>
      </c>
      <c r="H219" s="6" t="s">
        <v>1213</v>
      </c>
      <c r="I219" s="6" t="s">
        <v>1214</v>
      </c>
      <c r="J219" s="6" t="s">
        <v>689</v>
      </c>
      <c r="K219" s="68">
        <f>Row_Data!$F219*Row_Data!$G219</f>
        <v>14792.369999999999</v>
      </c>
      <c r="L219" s="69" t="str">
        <f>TEXT(Row_Data!$B219,"MMM "&amp;"YYY")</f>
        <v>May 2025</v>
      </c>
    </row>
    <row r="220" spans="1:12" hidden="1" x14ac:dyDescent="0.3">
      <c r="A220" s="6">
        <v>1191</v>
      </c>
      <c r="B220" s="64">
        <v>45784</v>
      </c>
      <c r="C220" s="6" t="s">
        <v>505</v>
      </c>
      <c r="D220" s="6" t="s">
        <v>1224</v>
      </c>
      <c r="E220" s="6" t="s">
        <v>1221</v>
      </c>
      <c r="F220" s="6">
        <v>3</v>
      </c>
      <c r="G220" s="65">
        <v>4825</v>
      </c>
      <c r="H220" s="6" t="s">
        <v>1213</v>
      </c>
      <c r="I220" s="6" t="s">
        <v>1227</v>
      </c>
      <c r="J220" s="6" t="s">
        <v>372</v>
      </c>
      <c r="K220" s="68">
        <f>Row_Data!$F220*Row_Data!$G220</f>
        <v>14475</v>
      </c>
      <c r="L220" s="69" t="str">
        <f>TEXT(Row_Data!$B220,"MMM "&amp;"YYY")</f>
        <v>May 2025</v>
      </c>
    </row>
    <row r="221" spans="1:12" hidden="1" x14ac:dyDescent="0.3">
      <c r="A221" s="6">
        <v>5122</v>
      </c>
      <c r="B221" s="64">
        <v>45785</v>
      </c>
      <c r="C221" s="6" t="s">
        <v>507</v>
      </c>
      <c r="D221" s="6" t="s">
        <v>1215</v>
      </c>
      <c r="E221" s="6" t="s">
        <v>1221</v>
      </c>
      <c r="F221" s="6">
        <v>3</v>
      </c>
      <c r="G221" s="65">
        <v>2901.74</v>
      </c>
      <c r="H221" s="6" t="s">
        <v>1220</v>
      </c>
      <c r="I221" s="6" t="s">
        <v>1217</v>
      </c>
      <c r="J221" s="6" t="s">
        <v>172</v>
      </c>
      <c r="K221" s="68">
        <f>Row_Data!$F221*Row_Data!$G221</f>
        <v>8705.2199999999993</v>
      </c>
      <c r="L221" s="69" t="str">
        <f>TEXT(Row_Data!$B221,"MMM "&amp;"YYY")</f>
        <v>May 2025</v>
      </c>
    </row>
    <row r="222" spans="1:12" hidden="1" x14ac:dyDescent="0.3">
      <c r="A222" s="6">
        <v>7439</v>
      </c>
      <c r="B222" s="64">
        <v>45787</v>
      </c>
      <c r="C222" s="6" t="s">
        <v>509</v>
      </c>
      <c r="D222" s="6" t="s">
        <v>1219</v>
      </c>
      <c r="E222" s="6" t="s">
        <v>1212</v>
      </c>
      <c r="F222" s="6">
        <v>5</v>
      </c>
      <c r="G222" s="65">
        <v>2734.11</v>
      </c>
      <c r="H222" s="6" t="s">
        <v>1213</v>
      </c>
      <c r="I222" s="6" t="s">
        <v>1214</v>
      </c>
      <c r="J222" s="6" t="s">
        <v>687</v>
      </c>
      <c r="K222" s="68">
        <f>Row_Data!$F222*Row_Data!$G222</f>
        <v>13670.550000000001</v>
      </c>
      <c r="L222" s="69" t="str">
        <f>TEXT(Row_Data!$B222,"MMM "&amp;"YYY")</f>
        <v>May 2025</v>
      </c>
    </row>
    <row r="223" spans="1:12" hidden="1" x14ac:dyDescent="0.3">
      <c r="A223" s="6">
        <v>7801</v>
      </c>
      <c r="B223" s="64">
        <v>45787</v>
      </c>
      <c r="C223" s="6" t="s">
        <v>511</v>
      </c>
      <c r="D223" s="6" t="s">
        <v>1215</v>
      </c>
      <c r="E223" s="6" t="s">
        <v>1212</v>
      </c>
      <c r="F223" s="6">
        <v>1</v>
      </c>
      <c r="G223" s="65">
        <v>4229.59</v>
      </c>
      <c r="H223" s="6" t="s">
        <v>1220</v>
      </c>
      <c r="I223" s="6" t="s">
        <v>1227</v>
      </c>
      <c r="J223" s="6" t="s">
        <v>510</v>
      </c>
      <c r="K223" s="68">
        <f>Row_Data!$F223*Row_Data!$G223</f>
        <v>4229.59</v>
      </c>
      <c r="L223" s="69" t="str">
        <f>TEXT(Row_Data!$B223,"MMM "&amp;"YYY")</f>
        <v>May 2025</v>
      </c>
    </row>
    <row r="224" spans="1:12" hidden="1" x14ac:dyDescent="0.3">
      <c r="A224" s="6">
        <v>1095</v>
      </c>
      <c r="B224" s="64">
        <v>45787</v>
      </c>
      <c r="C224" s="6" t="s">
        <v>513</v>
      </c>
      <c r="D224" s="6" t="s">
        <v>1222</v>
      </c>
      <c r="E224" s="6" t="s">
        <v>1212</v>
      </c>
      <c r="F224" s="6">
        <v>1</v>
      </c>
      <c r="G224" s="65">
        <v>4877.33</v>
      </c>
      <c r="H224" s="6" t="s">
        <v>1220</v>
      </c>
      <c r="I224" s="6" t="s">
        <v>1217</v>
      </c>
      <c r="J224" s="6" t="s">
        <v>567</v>
      </c>
      <c r="K224" s="68">
        <f>Row_Data!$F224*Row_Data!$G224</f>
        <v>4877.33</v>
      </c>
      <c r="L224" s="69" t="str">
        <f>TEXT(Row_Data!$B224,"MMM "&amp;"YYY")</f>
        <v>May 2025</v>
      </c>
    </row>
    <row r="225" spans="1:12" hidden="1" x14ac:dyDescent="0.3">
      <c r="A225" s="6">
        <v>8793</v>
      </c>
      <c r="B225" s="64">
        <v>45787</v>
      </c>
      <c r="C225" s="6" t="s">
        <v>515</v>
      </c>
      <c r="D225" s="6" t="s">
        <v>1219</v>
      </c>
      <c r="E225" s="6" t="s">
        <v>1221</v>
      </c>
      <c r="F225" s="6">
        <v>4</v>
      </c>
      <c r="G225" s="65">
        <v>1015.73</v>
      </c>
      <c r="H225" s="6" t="s">
        <v>1220</v>
      </c>
      <c r="I225" s="6" t="s">
        <v>1214</v>
      </c>
      <c r="J225" s="6" t="s">
        <v>456</v>
      </c>
      <c r="K225" s="68">
        <f>Row_Data!$F225*Row_Data!$G225</f>
        <v>4062.92</v>
      </c>
      <c r="L225" s="69" t="str">
        <f>TEXT(Row_Data!$B225,"MMM "&amp;"YYY")</f>
        <v>May 2025</v>
      </c>
    </row>
    <row r="226" spans="1:12" hidden="1" x14ac:dyDescent="0.3">
      <c r="A226" s="6">
        <v>8140</v>
      </c>
      <c r="B226" s="64">
        <v>45787</v>
      </c>
      <c r="C226" s="6" t="s">
        <v>517</v>
      </c>
      <c r="D226" s="6" t="s">
        <v>1218</v>
      </c>
      <c r="E226" s="6" t="s">
        <v>1212</v>
      </c>
      <c r="F226" s="6">
        <v>2</v>
      </c>
      <c r="G226" s="65">
        <v>1268.48</v>
      </c>
      <c r="H226" s="6" t="s">
        <v>1220</v>
      </c>
      <c r="I226" s="6" t="s">
        <v>1217</v>
      </c>
      <c r="J226" s="6" t="s">
        <v>152</v>
      </c>
      <c r="K226" s="68">
        <f>Row_Data!$F226*Row_Data!$G226</f>
        <v>2536.96</v>
      </c>
      <c r="L226" s="69" t="str">
        <f>TEXT(Row_Data!$B226,"MMM "&amp;"YYY")</f>
        <v>May 2025</v>
      </c>
    </row>
    <row r="227" spans="1:12" hidden="1" x14ac:dyDescent="0.3">
      <c r="A227" s="6">
        <v>5016</v>
      </c>
      <c r="B227" s="64">
        <v>45787</v>
      </c>
      <c r="C227" s="6" t="s">
        <v>519</v>
      </c>
      <c r="D227" s="6" t="s">
        <v>1223</v>
      </c>
      <c r="E227" s="6" t="s">
        <v>1221</v>
      </c>
      <c r="F227" s="6">
        <v>3</v>
      </c>
      <c r="G227" s="65">
        <v>2654.25</v>
      </c>
      <c r="H227" s="6" t="s">
        <v>1216</v>
      </c>
      <c r="I227" s="6" t="s">
        <v>1214</v>
      </c>
      <c r="J227" s="6" t="s">
        <v>239</v>
      </c>
      <c r="K227" s="68">
        <f>Row_Data!$F227*Row_Data!$G227</f>
        <v>7962.75</v>
      </c>
      <c r="L227" s="69" t="str">
        <f>TEXT(Row_Data!$B227,"MMM "&amp;"YYY")</f>
        <v>May 2025</v>
      </c>
    </row>
    <row r="228" spans="1:12" hidden="1" x14ac:dyDescent="0.3">
      <c r="A228" s="6">
        <v>8510</v>
      </c>
      <c r="B228" s="64">
        <v>45788</v>
      </c>
      <c r="C228" s="6" t="s">
        <v>521</v>
      </c>
      <c r="D228" s="6" t="s">
        <v>1223</v>
      </c>
      <c r="E228" s="6" t="s">
        <v>1212</v>
      </c>
      <c r="F228" s="6">
        <v>3</v>
      </c>
      <c r="G228" s="65">
        <v>1428.53</v>
      </c>
      <c r="H228" s="6" t="s">
        <v>1213</v>
      </c>
      <c r="I228" s="6" t="s">
        <v>1214</v>
      </c>
      <c r="J228" s="6" t="s">
        <v>78</v>
      </c>
      <c r="K228" s="68">
        <f>Row_Data!$F228*Row_Data!$G228</f>
        <v>4285.59</v>
      </c>
      <c r="L228" s="69" t="str">
        <f>TEXT(Row_Data!$B228,"MMM "&amp;"YYY")</f>
        <v>May 2025</v>
      </c>
    </row>
    <row r="229" spans="1:12" hidden="1" x14ac:dyDescent="0.3">
      <c r="A229" s="6">
        <v>7371</v>
      </c>
      <c r="B229" s="64">
        <v>45788</v>
      </c>
      <c r="C229" s="6" t="s">
        <v>523</v>
      </c>
      <c r="D229" s="6" t="s">
        <v>1223</v>
      </c>
      <c r="E229" s="6" t="s">
        <v>1221</v>
      </c>
      <c r="F229" s="6">
        <v>2</v>
      </c>
      <c r="G229" s="65">
        <v>713.46</v>
      </c>
      <c r="H229" s="6" t="s">
        <v>1220</v>
      </c>
      <c r="I229" s="6" t="s">
        <v>1214</v>
      </c>
      <c r="J229" s="6" t="s">
        <v>671</v>
      </c>
      <c r="K229" s="68">
        <f>Row_Data!$F229*Row_Data!$G229</f>
        <v>1426.92</v>
      </c>
      <c r="L229" s="69" t="str">
        <f>TEXT(Row_Data!$B229,"MMM "&amp;"YYY")</f>
        <v>May 2025</v>
      </c>
    </row>
    <row r="230" spans="1:12" hidden="1" x14ac:dyDescent="0.3">
      <c r="A230" s="6">
        <v>4727</v>
      </c>
      <c r="B230" s="64">
        <v>45789</v>
      </c>
      <c r="C230" s="6" t="s">
        <v>525</v>
      </c>
      <c r="D230" s="6" t="s">
        <v>1229</v>
      </c>
      <c r="E230" s="6" t="s">
        <v>1221</v>
      </c>
      <c r="F230" s="6">
        <v>2</v>
      </c>
      <c r="G230" s="65">
        <v>465.45</v>
      </c>
      <c r="H230" s="6" t="s">
        <v>1220</v>
      </c>
      <c r="I230" s="6" t="s">
        <v>1214</v>
      </c>
      <c r="J230" s="6" t="s">
        <v>520</v>
      </c>
      <c r="K230" s="68">
        <f>Row_Data!$F230*Row_Data!$G230</f>
        <v>930.9</v>
      </c>
      <c r="L230" s="69" t="str">
        <f>TEXT(Row_Data!$B230,"MMM "&amp;"YYY")</f>
        <v>May 2025</v>
      </c>
    </row>
    <row r="231" spans="1:12" hidden="1" x14ac:dyDescent="0.3">
      <c r="A231" s="6">
        <v>2042</v>
      </c>
      <c r="B231" s="64">
        <v>45789</v>
      </c>
      <c r="C231" s="6" t="s">
        <v>527</v>
      </c>
      <c r="D231" s="6" t="s">
        <v>1223</v>
      </c>
      <c r="E231" s="6" t="s">
        <v>1221</v>
      </c>
      <c r="F231" s="6">
        <v>2</v>
      </c>
      <c r="G231" s="65">
        <v>540.28</v>
      </c>
      <c r="H231" s="6" t="s">
        <v>1216</v>
      </c>
      <c r="I231" s="6" t="s">
        <v>1227</v>
      </c>
      <c r="J231" s="6" t="s">
        <v>412</v>
      </c>
      <c r="K231" s="68">
        <f>Row_Data!$F231*Row_Data!$G231</f>
        <v>1080.56</v>
      </c>
      <c r="L231" s="69" t="str">
        <f>TEXT(Row_Data!$B231,"MMM "&amp;"YYY")</f>
        <v>May 2025</v>
      </c>
    </row>
    <row r="232" spans="1:12" hidden="1" x14ac:dyDescent="0.3">
      <c r="A232" s="6">
        <v>7032</v>
      </c>
      <c r="B232" s="64">
        <v>45790</v>
      </c>
      <c r="C232" s="6" t="s">
        <v>529</v>
      </c>
      <c r="D232" s="6" t="s">
        <v>1228</v>
      </c>
      <c r="E232" s="6" t="s">
        <v>1221</v>
      </c>
      <c r="F232" s="6">
        <v>3</v>
      </c>
      <c r="G232" s="65">
        <v>4536.37</v>
      </c>
      <c r="H232" s="6" t="s">
        <v>1216</v>
      </c>
      <c r="I232" s="6" t="s">
        <v>1217</v>
      </c>
      <c r="J232" s="6" t="s">
        <v>210</v>
      </c>
      <c r="K232" s="68">
        <f>Row_Data!$F232*Row_Data!$G232</f>
        <v>13609.11</v>
      </c>
      <c r="L232" s="69" t="str">
        <f>TEXT(Row_Data!$B232,"MMM "&amp;"YYY")</f>
        <v>May 2025</v>
      </c>
    </row>
    <row r="233" spans="1:12" hidden="1" x14ac:dyDescent="0.3">
      <c r="A233" s="6">
        <v>3714</v>
      </c>
      <c r="B233" s="64">
        <v>45790</v>
      </c>
      <c r="C233" s="6" t="s">
        <v>531</v>
      </c>
      <c r="D233" s="6" t="s">
        <v>1223</v>
      </c>
      <c r="E233" s="6" t="s">
        <v>1212</v>
      </c>
      <c r="F233" s="6">
        <v>1</v>
      </c>
      <c r="G233" s="65">
        <v>268.60000000000002</v>
      </c>
      <c r="H233" s="6" t="s">
        <v>1220</v>
      </c>
      <c r="I233" s="6" t="s">
        <v>1217</v>
      </c>
      <c r="J233" s="6" t="s">
        <v>334</v>
      </c>
      <c r="K233" s="68">
        <f>Row_Data!$F233*Row_Data!$G233</f>
        <v>268.60000000000002</v>
      </c>
      <c r="L233" s="69" t="str">
        <f>TEXT(Row_Data!$B233,"MMM "&amp;"YYY")</f>
        <v>May 2025</v>
      </c>
    </row>
    <row r="234" spans="1:12" hidden="1" x14ac:dyDescent="0.3">
      <c r="A234" s="6">
        <v>4539</v>
      </c>
      <c r="B234" s="64">
        <v>45790</v>
      </c>
      <c r="C234" s="6" t="s">
        <v>533</v>
      </c>
      <c r="D234" s="6" t="s">
        <v>1215</v>
      </c>
      <c r="E234" s="6" t="s">
        <v>1226</v>
      </c>
      <c r="F234" s="6">
        <v>1</v>
      </c>
      <c r="G234" s="65">
        <v>691.87</v>
      </c>
      <c r="H234" s="6" t="s">
        <v>1220</v>
      </c>
      <c r="I234" s="6" t="s">
        <v>1214</v>
      </c>
      <c r="J234" s="6" t="s">
        <v>138</v>
      </c>
      <c r="K234" s="68">
        <f>Row_Data!$F234*Row_Data!$G234</f>
        <v>691.87</v>
      </c>
      <c r="L234" s="69" t="str">
        <f>TEXT(Row_Data!$B234,"MMM "&amp;"YYY")</f>
        <v>May 2025</v>
      </c>
    </row>
    <row r="235" spans="1:12" hidden="1" x14ac:dyDescent="0.3">
      <c r="A235" s="6">
        <v>6497</v>
      </c>
      <c r="B235" s="64">
        <v>45790</v>
      </c>
      <c r="C235" s="6" t="s">
        <v>535</v>
      </c>
      <c r="D235" s="6" t="s">
        <v>1223</v>
      </c>
      <c r="E235" s="6" t="s">
        <v>1226</v>
      </c>
      <c r="F235" s="6">
        <v>3</v>
      </c>
      <c r="G235" s="65">
        <v>4885.33</v>
      </c>
      <c r="H235" s="6" t="s">
        <v>1220</v>
      </c>
      <c r="I235" s="6" t="s">
        <v>1214</v>
      </c>
      <c r="J235" s="6" t="s">
        <v>269</v>
      </c>
      <c r="K235" s="68">
        <f>Row_Data!$F235*Row_Data!$G235</f>
        <v>14655.99</v>
      </c>
      <c r="L235" s="69" t="str">
        <f>TEXT(Row_Data!$B235,"MMM "&amp;"YYY")</f>
        <v>May 2025</v>
      </c>
    </row>
    <row r="236" spans="1:12" hidden="1" x14ac:dyDescent="0.3">
      <c r="A236" s="6">
        <v>1643</v>
      </c>
      <c r="B236" s="64">
        <v>45790</v>
      </c>
      <c r="C236" s="6" t="s">
        <v>537</v>
      </c>
      <c r="D236" s="6" t="s">
        <v>1211</v>
      </c>
      <c r="E236" s="6" t="s">
        <v>1221</v>
      </c>
      <c r="F236" s="6">
        <v>4</v>
      </c>
      <c r="G236" s="65">
        <v>4478.83</v>
      </c>
      <c r="H236" s="6" t="s">
        <v>1216</v>
      </c>
      <c r="I236" s="6" t="s">
        <v>1214</v>
      </c>
      <c r="J236" s="6" t="s">
        <v>438</v>
      </c>
      <c r="K236" s="68">
        <f>Row_Data!$F236*Row_Data!$G236</f>
        <v>17915.32</v>
      </c>
      <c r="L236" s="69" t="str">
        <f>TEXT(Row_Data!$B236,"MMM "&amp;"YYY")</f>
        <v>May 2025</v>
      </c>
    </row>
    <row r="237" spans="1:12" hidden="1" x14ac:dyDescent="0.3">
      <c r="A237" s="6">
        <v>6658</v>
      </c>
      <c r="B237" s="64">
        <v>45791</v>
      </c>
      <c r="C237" s="6" t="s">
        <v>539</v>
      </c>
      <c r="D237" s="6" t="s">
        <v>1224</v>
      </c>
      <c r="E237" s="6" t="s">
        <v>1226</v>
      </c>
      <c r="F237" s="6">
        <v>1</v>
      </c>
      <c r="G237" s="65">
        <v>921.54</v>
      </c>
      <c r="H237" s="6" t="s">
        <v>1216</v>
      </c>
      <c r="I237" s="6" t="s">
        <v>1217</v>
      </c>
      <c r="J237" s="6" t="s">
        <v>691</v>
      </c>
      <c r="K237" s="68">
        <f>Row_Data!$F237*Row_Data!$G237</f>
        <v>921.54</v>
      </c>
      <c r="L237" s="69" t="str">
        <f>TEXT(Row_Data!$B237,"MMM "&amp;"YYY")</f>
        <v>May 2025</v>
      </c>
    </row>
    <row r="238" spans="1:12" hidden="1" x14ac:dyDescent="0.3">
      <c r="A238" s="6">
        <v>7877</v>
      </c>
      <c r="B238" s="64">
        <v>45792</v>
      </c>
      <c r="C238" s="6" t="s">
        <v>541</v>
      </c>
      <c r="D238" s="6" t="s">
        <v>1218</v>
      </c>
      <c r="E238" s="6" t="s">
        <v>1226</v>
      </c>
      <c r="F238" s="6">
        <v>2</v>
      </c>
      <c r="G238" s="65">
        <v>3051.99</v>
      </c>
      <c r="H238" s="6" t="s">
        <v>1213</v>
      </c>
      <c r="I238" s="6" t="s">
        <v>1217</v>
      </c>
      <c r="J238" s="6" t="s">
        <v>118</v>
      </c>
      <c r="K238" s="68">
        <f>Row_Data!$F238*Row_Data!$G238</f>
        <v>6103.98</v>
      </c>
      <c r="L238" s="69" t="str">
        <f>TEXT(Row_Data!$B238,"MMM "&amp;"YYY")</f>
        <v>May 2025</v>
      </c>
    </row>
    <row r="239" spans="1:12" hidden="1" x14ac:dyDescent="0.3">
      <c r="A239" s="6">
        <v>6587</v>
      </c>
      <c r="B239" s="64">
        <v>45793</v>
      </c>
      <c r="C239" s="6" t="s">
        <v>543</v>
      </c>
      <c r="D239" s="6" t="s">
        <v>1224</v>
      </c>
      <c r="E239" s="6" t="s">
        <v>1221</v>
      </c>
      <c r="F239" s="6">
        <v>1</v>
      </c>
      <c r="G239" s="65">
        <v>2346.59</v>
      </c>
      <c r="H239" s="6" t="s">
        <v>1213</v>
      </c>
      <c r="I239" s="6" t="s">
        <v>1217</v>
      </c>
      <c r="J239" s="6" t="s">
        <v>551</v>
      </c>
      <c r="K239" s="68">
        <f>Row_Data!$F239*Row_Data!$G239</f>
        <v>2346.59</v>
      </c>
      <c r="L239" s="69" t="str">
        <f>TEXT(Row_Data!$B239,"MMM "&amp;"YYY")</f>
        <v>May 2025</v>
      </c>
    </row>
    <row r="240" spans="1:12" hidden="1" x14ac:dyDescent="0.3">
      <c r="A240" s="6">
        <v>2964</v>
      </c>
      <c r="B240" s="64">
        <v>45794</v>
      </c>
      <c r="C240" s="6" t="s">
        <v>545</v>
      </c>
      <c r="D240" s="6" t="s">
        <v>1215</v>
      </c>
      <c r="E240" s="6" t="s">
        <v>1212</v>
      </c>
      <c r="F240" s="6">
        <v>3</v>
      </c>
      <c r="G240" s="65">
        <v>1085.06</v>
      </c>
      <c r="H240" s="6" t="s">
        <v>1216</v>
      </c>
      <c r="I240" s="6" t="s">
        <v>1214</v>
      </c>
      <c r="J240" s="6" t="s">
        <v>322</v>
      </c>
      <c r="K240" s="68">
        <f>Row_Data!$F240*Row_Data!$G240</f>
        <v>3255.18</v>
      </c>
      <c r="L240" s="69" t="str">
        <f>TEXT(Row_Data!$B240,"MMM "&amp;"YYY")</f>
        <v>May 2025</v>
      </c>
    </row>
    <row r="241" spans="1:12" hidden="1" x14ac:dyDescent="0.3">
      <c r="A241" s="6">
        <v>7787</v>
      </c>
      <c r="B241" s="64">
        <v>45795</v>
      </c>
      <c r="C241" s="6" t="s">
        <v>547</v>
      </c>
      <c r="D241" s="6" t="s">
        <v>1229</v>
      </c>
      <c r="E241" s="6" t="s">
        <v>1212</v>
      </c>
      <c r="F241" s="6">
        <v>5</v>
      </c>
      <c r="G241" s="65">
        <v>3072.71</v>
      </c>
      <c r="H241" s="6" t="s">
        <v>1216</v>
      </c>
      <c r="I241" s="6" t="s">
        <v>1217</v>
      </c>
      <c r="J241" s="6" t="s">
        <v>112</v>
      </c>
      <c r="K241" s="68">
        <f>Row_Data!$F241*Row_Data!$G241</f>
        <v>15363.55</v>
      </c>
      <c r="L241" s="69" t="str">
        <f>TEXT(Row_Data!$B241,"MMM "&amp;"YYY")</f>
        <v>May 2025</v>
      </c>
    </row>
    <row r="242" spans="1:12" hidden="1" x14ac:dyDescent="0.3">
      <c r="A242" s="6">
        <v>6093</v>
      </c>
      <c r="B242" s="64">
        <v>45796</v>
      </c>
      <c r="C242" s="6" t="s">
        <v>549</v>
      </c>
      <c r="D242" s="6" t="s">
        <v>1219</v>
      </c>
      <c r="E242" s="6" t="s">
        <v>1226</v>
      </c>
      <c r="F242" s="6">
        <v>3</v>
      </c>
      <c r="G242" s="65">
        <v>4612.42</v>
      </c>
      <c r="H242" s="6" t="s">
        <v>1216</v>
      </c>
      <c r="I242" s="6" t="s">
        <v>1214</v>
      </c>
      <c r="J242" s="6" t="s">
        <v>649</v>
      </c>
      <c r="K242" s="68">
        <f>Row_Data!$F242*Row_Data!$G242</f>
        <v>13837.26</v>
      </c>
      <c r="L242" s="69" t="str">
        <f>TEXT(Row_Data!$B242,"MMM "&amp;"YYY")</f>
        <v>May 2025</v>
      </c>
    </row>
    <row r="243" spans="1:12" hidden="1" x14ac:dyDescent="0.3">
      <c r="A243" s="6">
        <v>7786</v>
      </c>
      <c r="B243" s="64">
        <v>45796</v>
      </c>
      <c r="C243" s="6" t="s">
        <v>550</v>
      </c>
      <c r="D243" s="6" t="s">
        <v>1215</v>
      </c>
      <c r="E243" s="6" t="s">
        <v>1226</v>
      </c>
      <c r="F243" s="6">
        <v>4</v>
      </c>
      <c r="G243" s="65">
        <v>2494.21</v>
      </c>
      <c r="H243" s="6" t="s">
        <v>1220</v>
      </c>
      <c r="I243" s="6" t="s">
        <v>1217</v>
      </c>
      <c r="J243" s="6" t="s">
        <v>524</v>
      </c>
      <c r="K243" s="68">
        <f>Row_Data!$F243*Row_Data!$G243</f>
        <v>9976.84</v>
      </c>
      <c r="L243" s="69" t="str">
        <f>TEXT(Row_Data!$B243,"MMM "&amp;"YYY")</f>
        <v>May 2025</v>
      </c>
    </row>
    <row r="244" spans="1:12" hidden="1" x14ac:dyDescent="0.3">
      <c r="A244" s="6">
        <v>7705</v>
      </c>
      <c r="B244" s="64">
        <v>45796</v>
      </c>
      <c r="C244" s="6" t="s">
        <v>552</v>
      </c>
      <c r="D244" s="6" t="s">
        <v>1225</v>
      </c>
      <c r="E244" s="6" t="s">
        <v>1226</v>
      </c>
      <c r="F244" s="6">
        <v>5</v>
      </c>
      <c r="G244" s="65">
        <v>4945.83</v>
      </c>
      <c r="H244" s="6" t="s">
        <v>1220</v>
      </c>
      <c r="I244" s="6" t="s">
        <v>1214</v>
      </c>
      <c r="J244" s="6" t="s">
        <v>601</v>
      </c>
      <c r="K244" s="68">
        <f>Row_Data!$F244*Row_Data!$G244</f>
        <v>24729.15</v>
      </c>
      <c r="L244" s="69" t="str">
        <f>TEXT(Row_Data!$B244,"MMM "&amp;"YYY")</f>
        <v>May 2025</v>
      </c>
    </row>
    <row r="245" spans="1:12" hidden="1" x14ac:dyDescent="0.3">
      <c r="A245" s="6">
        <v>8015</v>
      </c>
      <c r="B245" s="64">
        <v>45796</v>
      </c>
      <c r="C245" s="6" t="s">
        <v>554</v>
      </c>
      <c r="D245" s="6" t="s">
        <v>1228</v>
      </c>
      <c r="E245" s="6" t="s">
        <v>1226</v>
      </c>
      <c r="F245" s="6">
        <v>4</v>
      </c>
      <c r="G245" s="65">
        <v>1861.51</v>
      </c>
      <c r="H245" s="6" t="s">
        <v>1213</v>
      </c>
      <c r="I245" s="6" t="s">
        <v>1227</v>
      </c>
      <c r="J245" s="6" t="s">
        <v>464</v>
      </c>
      <c r="K245" s="68">
        <f>Row_Data!$F245*Row_Data!$G245</f>
        <v>7446.04</v>
      </c>
      <c r="L245" s="69" t="str">
        <f>TEXT(Row_Data!$B245,"MMM "&amp;"YYY")</f>
        <v>May 2025</v>
      </c>
    </row>
    <row r="246" spans="1:12" hidden="1" x14ac:dyDescent="0.3">
      <c r="A246" s="6">
        <v>1939</v>
      </c>
      <c r="B246" s="64">
        <v>45797</v>
      </c>
      <c r="C246" s="6" t="s">
        <v>556</v>
      </c>
      <c r="D246" s="6" t="s">
        <v>1211</v>
      </c>
      <c r="E246" s="6" t="s">
        <v>1212</v>
      </c>
      <c r="F246" s="6">
        <v>1</v>
      </c>
      <c r="G246" s="65">
        <v>1125.43</v>
      </c>
      <c r="H246" s="6" t="s">
        <v>1220</v>
      </c>
      <c r="I246" s="6" t="s">
        <v>1217</v>
      </c>
      <c r="J246" s="6" t="s">
        <v>190</v>
      </c>
      <c r="K246" s="68">
        <f>Row_Data!$F246*Row_Data!$G246</f>
        <v>1125.43</v>
      </c>
      <c r="L246" s="69" t="str">
        <f>TEXT(Row_Data!$B246,"MMM "&amp;"YYY")</f>
        <v>May 2025</v>
      </c>
    </row>
    <row r="247" spans="1:12" hidden="1" x14ac:dyDescent="0.3">
      <c r="A247" s="6">
        <v>7685</v>
      </c>
      <c r="B247" s="64">
        <v>45797</v>
      </c>
      <c r="C247" s="6" t="s">
        <v>558</v>
      </c>
      <c r="D247" s="6" t="s">
        <v>1229</v>
      </c>
      <c r="E247" s="6" t="s">
        <v>1212</v>
      </c>
      <c r="F247" s="6">
        <v>1</v>
      </c>
      <c r="G247" s="65">
        <v>2057.39</v>
      </c>
      <c r="H247" s="6" t="s">
        <v>1216</v>
      </c>
      <c r="I247" s="6" t="s">
        <v>1214</v>
      </c>
      <c r="J247" s="6" t="s">
        <v>174</v>
      </c>
      <c r="K247" s="68">
        <f>Row_Data!$F247*Row_Data!$G247</f>
        <v>2057.39</v>
      </c>
      <c r="L247" s="69" t="str">
        <f>TEXT(Row_Data!$B247,"MMM "&amp;"YYY")</f>
        <v>May 2025</v>
      </c>
    </row>
    <row r="248" spans="1:12" hidden="1" x14ac:dyDescent="0.3">
      <c r="A248" s="6">
        <v>9722</v>
      </c>
      <c r="B248" s="64">
        <v>45798</v>
      </c>
      <c r="C248" s="6" t="s">
        <v>560</v>
      </c>
      <c r="D248" s="6" t="s">
        <v>1225</v>
      </c>
      <c r="E248" s="6" t="s">
        <v>1226</v>
      </c>
      <c r="F248" s="6">
        <v>2</v>
      </c>
      <c r="G248" s="65">
        <v>1772.27</v>
      </c>
      <c r="H248" s="6" t="s">
        <v>1216</v>
      </c>
      <c r="I248" s="6" t="s">
        <v>1227</v>
      </c>
      <c r="J248" s="6" t="s">
        <v>573</v>
      </c>
      <c r="K248" s="68">
        <f>Row_Data!$F248*Row_Data!$G248</f>
        <v>3544.54</v>
      </c>
      <c r="L248" s="69" t="str">
        <f>TEXT(Row_Data!$B248,"MMM "&amp;"YYY")</f>
        <v>May 2025</v>
      </c>
    </row>
    <row r="249" spans="1:12" hidden="1" x14ac:dyDescent="0.3">
      <c r="A249" s="6">
        <v>4976</v>
      </c>
      <c r="B249" s="64">
        <v>45798</v>
      </c>
      <c r="C249" s="6" t="s">
        <v>562</v>
      </c>
      <c r="D249" s="6" t="s">
        <v>1229</v>
      </c>
      <c r="E249" s="6" t="s">
        <v>1221</v>
      </c>
      <c r="F249" s="6">
        <v>1</v>
      </c>
      <c r="G249" s="65">
        <v>2234.2800000000002</v>
      </c>
      <c r="H249" s="6" t="s">
        <v>1220</v>
      </c>
      <c r="I249" s="6" t="s">
        <v>1217</v>
      </c>
      <c r="J249" s="6" t="s">
        <v>176</v>
      </c>
      <c r="K249" s="68">
        <f>Row_Data!$F249*Row_Data!$G249</f>
        <v>2234.2800000000002</v>
      </c>
      <c r="L249" s="69" t="str">
        <f>TEXT(Row_Data!$B249,"MMM "&amp;"YYY")</f>
        <v>May 2025</v>
      </c>
    </row>
    <row r="250" spans="1:12" hidden="1" x14ac:dyDescent="0.3">
      <c r="A250" s="6">
        <v>3014</v>
      </c>
      <c r="B250" s="64">
        <v>45798</v>
      </c>
      <c r="C250" s="6" t="s">
        <v>564</v>
      </c>
      <c r="D250" s="6" t="s">
        <v>1229</v>
      </c>
      <c r="E250" s="6" t="s">
        <v>1212</v>
      </c>
      <c r="F250" s="6">
        <v>4</v>
      </c>
      <c r="G250" s="65">
        <v>3879.63</v>
      </c>
      <c r="H250" s="6" t="s">
        <v>1220</v>
      </c>
      <c r="I250" s="6" t="s">
        <v>1227</v>
      </c>
      <c r="J250" s="6" t="s">
        <v>424</v>
      </c>
      <c r="K250" s="68">
        <f>Row_Data!$F250*Row_Data!$G250</f>
        <v>15518.52</v>
      </c>
      <c r="L250" s="69" t="str">
        <f>TEXT(Row_Data!$B250,"MMM "&amp;"YYY")</f>
        <v>May 2025</v>
      </c>
    </row>
    <row r="251" spans="1:12" hidden="1" x14ac:dyDescent="0.3">
      <c r="A251" s="6">
        <v>7630</v>
      </c>
      <c r="B251" s="64">
        <v>45800</v>
      </c>
      <c r="C251" s="6" t="s">
        <v>566</v>
      </c>
      <c r="D251" s="6" t="s">
        <v>1219</v>
      </c>
      <c r="E251" s="6" t="s">
        <v>1226</v>
      </c>
      <c r="F251" s="6">
        <v>5</v>
      </c>
      <c r="G251" s="65">
        <v>1036.8399999999999</v>
      </c>
      <c r="H251" s="6" t="s">
        <v>1213</v>
      </c>
      <c r="I251" s="6" t="s">
        <v>1227</v>
      </c>
      <c r="J251" s="6" t="s">
        <v>528</v>
      </c>
      <c r="K251" s="68">
        <f>Row_Data!$F251*Row_Data!$G251</f>
        <v>5184.2</v>
      </c>
      <c r="L251" s="69" t="str">
        <f>TEXT(Row_Data!$B251,"MMM "&amp;"YYY")</f>
        <v>May 2025</v>
      </c>
    </row>
    <row r="252" spans="1:12" hidden="1" x14ac:dyDescent="0.3">
      <c r="A252" s="6">
        <v>9636</v>
      </c>
      <c r="B252" s="64">
        <v>45801</v>
      </c>
      <c r="C252" s="6" t="s">
        <v>568</v>
      </c>
      <c r="D252" s="6" t="s">
        <v>1224</v>
      </c>
      <c r="E252" s="6" t="s">
        <v>1212</v>
      </c>
      <c r="F252" s="6">
        <v>2</v>
      </c>
      <c r="G252" s="65">
        <v>2675.71</v>
      </c>
      <c r="H252" s="6" t="s">
        <v>1216</v>
      </c>
      <c r="I252" s="6" t="s">
        <v>1217</v>
      </c>
      <c r="J252" s="6" t="s">
        <v>247</v>
      </c>
      <c r="K252" s="68">
        <f>Row_Data!$F252*Row_Data!$G252</f>
        <v>5351.42</v>
      </c>
      <c r="L252" s="69" t="str">
        <f>TEXT(Row_Data!$B252,"MMM "&amp;"YYY")</f>
        <v>May 2025</v>
      </c>
    </row>
    <row r="253" spans="1:12" hidden="1" x14ac:dyDescent="0.3">
      <c r="A253" s="6">
        <v>4177</v>
      </c>
      <c r="B253" s="64">
        <v>45802</v>
      </c>
      <c r="C253" s="6" t="s">
        <v>570</v>
      </c>
      <c r="D253" s="6" t="s">
        <v>1224</v>
      </c>
      <c r="E253" s="6" t="s">
        <v>1226</v>
      </c>
      <c r="F253" s="6">
        <v>1</v>
      </c>
      <c r="G253" s="65">
        <v>506.3</v>
      </c>
      <c r="H253" s="6" t="s">
        <v>1220</v>
      </c>
      <c r="I253" s="6" t="s">
        <v>1217</v>
      </c>
      <c r="J253" s="6" t="s">
        <v>156</v>
      </c>
      <c r="K253" s="68">
        <f>Row_Data!$F253*Row_Data!$G253</f>
        <v>506.3</v>
      </c>
      <c r="L253" s="69" t="str">
        <f>TEXT(Row_Data!$B253,"MMM "&amp;"YYY")</f>
        <v>May 2025</v>
      </c>
    </row>
    <row r="254" spans="1:12" hidden="1" x14ac:dyDescent="0.3">
      <c r="A254" s="6">
        <v>5901</v>
      </c>
      <c r="B254" s="64">
        <v>45803</v>
      </c>
      <c r="C254" s="6" t="s">
        <v>572</v>
      </c>
      <c r="D254" s="6" t="s">
        <v>1222</v>
      </c>
      <c r="E254" s="6" t="s">
        <v>1221</v>
      </c>
      <c r="F254" s="6">
        <v>5</v>
      </c>
      <c r="G254" s="65">
        <v>1405.63</v>
      </c>
      <c r="H254" s="6" t="s">
        <v>1213</v>
      </c>
      <c r="I254" s="6" t="s">
        <v>1217</v>
      </c>
      <c r="J254" s="6" t="s">
        <v>518</v>
      </c>
      <c r="K254" s="68">
        <f>Row_Data!$F254*Row_Data!$G254</f>
        <v>7028.1500000000005</v>
      </c>
      <c r="L254" s="69" t="str">
        <f>TEXT(Row_Data!$B254,"MMM "&amp;"YYY")</f>
        <v>May 2025</v>
      </c>
    </row>
    <row r="255" spans="1:12" hidden="1" x14ac:dyDescent="0.3">
      <c r="A255" s="6">
        <v>2871</v>
      </c>
      <c r="B255" s="64">
        <v>45803</v>
      </c>
      <c r="C255" s="6" t="s">
        <v>574</v>
      </c>
      <c r="D255" s="6" t="s">
        <v>1211</v>
      </c>
      <c r="E255" s="6" t="s">
        <v>1212</v>
      </c>
      <c r="F255" s="6">
        <v>2</v>
      </c>
      <c r="G255" s="65">
        <v>3324.03</v>
      </c>
      <c r="H255" s="6" t="s">
        <v>1216</v>
      </c>
      <c r="I255" s="6" t="s">
        <v>1227</v>
      </c>
      <c r="J255" s="6" t="s">
        <v>140</v>
      </c>
      <c r="K255" s="68">
        <f>Row_Data!$F255*Row_Data!$G255</f>
        <v>6648.06</v>
      </c>
      <c r="L255" s="69" t="str">
        <f>TEXT(Row_Data!$B255,"MMM "&amp;"YYY")</f>
        <v>May 2025</v>
      </c>
    </row>
    <row r="256" spans="1:12" hidden="1" x14ac:dyDescent="0.3">
      <c r="A256" s="6">
        <v>9112</v>
      </c>
      <c r="B256" s="64">
        <v>45803</v>
      </c>
      <c r="C256" s="6" t="s">
        <v>576</v>
      </c>
      <c r="D256" s="6" t="s">
        <v>1223</v>
      </c>
      <c r="E256" s="6" t="s">
        <v>1221</v>
      </c>
      <c r="F256" s="6">
        <v>3</v>
      </c>
      <c r="G256" s="65">
        <v>3556.27</v>
      </c>
      <c r="H256" s="6" t="s">
        <v>1213</v>
      </c>
      <c r="I256" s="6" t="s">
        <v>1217</v>
      </c>
      <c r="J256" s="6" t="s">
        <v>304</v>
      </c>
      <c r="K256" s="68">
        <f>Row_Data!$F256*Row_Data!$G256</f>
        <v>10668.81</v>
      </c>
      <c r="L256" s="69" t="str">
        <f>TEXT(Row_Data!$B256,"MMM "&amp;"YYY")</f>
        <v>May 2025</v>
      </c>
    </row>
    <row r="257" spans="1:12" hidden="1" x14ac:dyDescent="0.3">
      <c r="A257" s="6">
        <v>2093</v>
      </c>
      <c r="B257" s="64">
        <v>45804</v>
      </c>
      <c r="C257" s="6" t="s">
        <v>578</v>
      </c>
      <c r="D257" s="6" t="s">
        <v>1223</v>
      </c>
      <c r="E257" s="6" t="s">
        <v>1212</v>
      </c>
      <c r="F257" s="6">
        <v>2</v>
      </c>
      <c r="G257" s="65">
        <v>2647.9</v>
      </c>
      <c r="H257" s="6" t="s">
        <v>1213</v>
      </c>
      <c r="I257" s="6" t="s">
        <v>1214</v>
      </c>
      <c r="J257" s="6" t="s">
        <v>360</v>
      </c>
      <c r="K257" s="68">
        <f>Row_Data!$F257*Row_Data!$G257</f>
        <v>5295.8</v>
      </c>
      <c r="L257" s="69" t="str">
        <f>TEXT(Row_Data!$B257,"MMM "&amp;"YYY")</f>
        <v>May 2025</v>
      </c>
    </row>
    <row r="258" spans="1:12" hidden="1" x14ac:dyDescent="0.3">
      <c r="A258" s="6">
        <v>3689</v>
      </c>
      <c r="B258" s="64">
        <v>45806</v>
      </c>
      <c r="C258" s="6" t="s">
        <v>580</v>
      </c>
      <c r="D258" s="6" t="s">
        <v>1218</v>
      </c>
      <c r="E258" s="6" t="s">
        <v>1212</v>
      </c>
      <c r="F258" s="6">
        <v>1</v>
      </c>
      <c r="G258" s="65">
        <v>685.71</v>
      </c>
      <c r="H258" s="6" t="s">
        <v>1213</v>
      </c>
      <c r="I258" s="6" t="s">
        <v>1214</v>
      </c>
      <c r="J258" s="6" t="s">
        <v>146</v>
      </c>
      <c r="K258" s="68">
        <f>Row_Data!$F258*Row_Data!$G258</f>
        <v>685.71</v>
      </c>
      <c r="L258" s="69" t="str">
        <f>TEXT(Row_Data!$B258,"MMM "&amp;"YYY")</f>
        <v>May 2025</v>
      </c>
    </row>
    <row r="259" spans="1:12" hidden="1" x14ac:dyDescent="0.3">
      <c r="A259" s="6">
        <v>8377</v>
      </c>
      <c r="B259" s="64">
        <v>45809</v>
      </c>
      <c r="C259" s="6" t="s">
        <v>582</v>
      </c>
      <c r="D259" s="6" t="s">
        <v>1225</v>
      </c>
      <c r="E259" s="6" t="s">
        <v>1212</v>
      </c>
      <c r="F259" s="6">
        <v>3</v>
      </c>
      <c r="G259" s="65">
        <v>4768.21</v>
      </c>
      <c r="H259" s="6" t="s">
        <v>1220</v>
      </c>
      <c r="I259" s="6" t="s">
        <v>1217</v>
      </c>
      <c r="J259" s="6" t="s">
        <v>312</v>
      </c>
      <c r="K259" s="68">
        <f>Row_Data!$F259*Row_Data!$G259</f>
        <v>14304.630000000001</v>
      </c>
      <c r="L259" s="69" t="str">
        <f>TEXT(Row_Data!$B259,"MMM "&amp;"YYY")</f>
        <v>Jun 2025</v>
      </c>
    </row>
    <row r="260" spans="1:12" hidden="1" x14ac:dyDescent="0.3">
      <c r="A260" s="6">
        <v>6309</v>
      </c>
      <c r="B260" s="64">
        <v>45809</v>
      </c>
      <c r="C260" s="6" t="s">
        <v>584</v>
      </c>
      <c r="D260" s="6" t="s">
        <v>1211</v>
      </c>
      <c r="E260" s="6" t="s">
        <v>1212</v>
      </c>
      <c r="F260" s="6">
        <v>4</v>
      </c>
      <c r="G260" s="65">
        <v>600.39</v>
      </c>
      <c r="H260" s="6" t="s">
        <v>1220</v>
      </c>
      <c r="I260" s="6" t="s">
        <v>1217</v>
      </c>
      <c r="J260" s="6" t="s">
        <v>308</v>
      </c>
      <c r="K260" s="68">
        <f>Row_Data!$F260*Row_Data!$G260</f>
        <v>2401.56</v>
      </c>
      <c r="L260" s="69" t="str">
        <f>TEXT(Row_Data!$B260,"MMM "&amp;"YYY")</f>
        <v>Jun 2025</v>
      </c>
    </row>
    <row r="261" spans="1:12" hidden="1" x14ac:dyDescent="0.3">
      <c r="A261" s="6">
        <v>7413</v>
      </c>
      <c r="B261" s="64">
        <v>45810</v>
      </c>
      <c r="C261" s="6" t="s">
        <v>586</v>
      </c>
      <c r="D261" s="6" t="s">
        <v>1228</v>
      </c>
      <c r="E261" s="6" t="s">
        <v>1226</v>
      </c>
      <c r="F261" s="6">
        <v>2</v>
      </c>
      <c r="G261" s="65">
        <v>913.87</v>
      </c>
      <c r="H261" s="6" t="s">
        <v>1220</v>
      </c>
      <c r="I261" s="6" t="s">
        <v>1217</v>
      </c>
      <c r="J261" s="6" t="s">
        <v>332</v>
      </c>
      <c r="K261" s="68">
        <f>Row_Data!$F261*Row_Data!$G261</f>
        <v>1827.74</v>
      </c>
      <c r="L261" s="69" t="str">
        <f>TEXT(Row_Data!$B261,"MMM "&amp;"YYY")</f>
        <v>Jun 2025</v>
      </c>
    </row>
    <row r="262" spans="1:12" hidden="1" x14ac:dyDescent="0.3">
      <c r="A262" s="6">
        <v>7401</v>
      </c>
      <c r="B262" s="64">
        <v>45810</v>
      </c>
      <c r="C262" s="6" t="s">
        <v>588</v>
      </c>
      <c r="D262" s="6" t="s">
        <v>1223</v>
      </c>
      <c r="E262" s="6" t="s">
        <v>1226</v>
      </c>
      <c r="F262" s="6">
        <v>4</v>
      </c>
      <c r="G262" s="65">
        <v>4016.06</v>
      </c>
      <c r="H262" s="6" t="s">
        <v>1220</v>
      </c>
      <c r="I262" s="6" t="s">
        <v>1214</v>
      </c>
      <c r="J262" s="6" t="s">
        <v>308</v>
      </c>
      <c r="K262" s="68">
        <f>Row_Data!$F262*Row_Data!$G262</f>
        <v>16064.24</v>
      </c>
      <c r="L262" s="69" t="str">
        <f>TEXT(Row_Data!$B262,"MMM "&amp;"YYY")</f>
        <v>Jun 2025</v>
      </c>
    </row>
    <row r="263" spans="1:12" hidden="1" x14ac:dyDescent="0.3">
      <c r="A263" s="6">
        <v>8521</v>
      </c>
      <c r="B263" s="64">
        <v>45811</v>
      </c>
      <c r="C263" s="6" t="s">
        <v>590</v>
      </c>
      <c r="D263" s="6" t="s">
        <v>1224</v>
      </c>
      <c r="E263" s="6" t="s">
        <v>1212</v>
      </c>
      <c r="F263" s="6">
        <v>1</v>
      </c>
      <c r="G263" s="65">
        <v>4853.55</v>
      </c>
      <c r="H263" s="6" t="s">
        <v>1213</v>
      </c>
      <c r="I263" s="6" t="s">
        <v>1227</v>
      </c>
      <c r="J263" s="6" t="s">
        <v>414</v>
      </c>
      <c r="K263" s="68">
        <f>Row_Data!$F263*Row_Data!$G263</f>
        <v>4853.55</v>
      </c>
      <c r="L263" s="69" t="str">
        <f>TEXT(Row_Data!$B263,"MMM "&amp;"YYY")</f>
        <v>Jun 2025</v>
      </c>
    </row>
    <row r="264" spans="1:12" hidden="1" x14ac:dyDescent="0.3">
      <c r="A264" s="6">
        <v>3234</v>
      </c>
      <c r="B264" s="64">
        <v>45812</v>
      </c>
      <c r="C264" s="6" t="s">
        <v>592</v>
      </c>
      <c r="D264" s="6" t="s">
        <v>1218</v>
      </c>
      <c r="E264" s="6" t="s">
        <v>1226</v>
      </c>
      <c r="F264" s="6">
        <v>2</v>
      </c>
      <c r="G264" s="65">
        <v>4882.04</v>
      </c>
      <c r="H264" s="6" t="s">
        <v>1216</v>
      </c>
      <c r="I264" s="6" t="s">
        <v>1227</v>
      </c>
      <c r="J264" s="6" t="s">
        <v>158</v>
      </c>
      <c r="K264" s="68">
        <f>Row_Data!$F264*Row_Data!$G264</f>
        <v>9764.08</v>
      </c>
      <c r="L264" s="69" t="str">
        <f>TEXT(Row_Data!$B264,"MMM "&amp;"YYY")</f>
        <v>Jun 2025</v>
      </c>
    </row>
    <row r="265" spans="1:12" hidden="1" x14ac:dyDescent="0.3">
      <c r="A265" s="6">
        <v>8915</v>
      </c>
      <c r="B265" s="64">
        <v>45812</v>
      </c>
      <c r="C265" s="6" t="s">
        <v>594</v>
      </c>
      <c r="D265" s="6" t="s">
        <v>1215</v>
      </c>
      <c r="E265" s="6" t="s">
        <v>1226</v>
      </c>
      <c r="F265" s="6">
        <v>3</v>
      </c>
      <c r="G265" s="65">
        <v>2517.17</v>
      </c>
      <c r="H265" s="6" t="s">
        <v>1220</v>
      </c>
      <c r="I265" s="6" t="s">
        <v>1214</v>
      </c>
      <c r="J265" s="6" t="s">
        <v>202</v>
      </c>
      <c r="K265" s="68">
        <f>Row_Data!$F265*Row_Data!$G265</f>
        <v>7551.51</v>
      </c>
      <c r="L265" s="69" t="str">
        <f>TEXT(Row_Data!$B265,"MMM "&amp;"YYY")</f>
        <v>Jun 2025</v>
      </c>
    </row>
    <row r="266" spans="1:12" hidden="1" x14ac:dyDescent="0.3">
      <c r="A266" s="6">
        <v>6388</v>
      </c>
      <c r="B266" s="64">
        <v>45812</v>
      </c>
      <c r="C266" s="6" t="s">
        <v>596</v>
      </c>
      <c r="D266" s="6" t="s">
        <v>1218</v>
      </c>
      <c r="E266" s="6" t="s">
        <v>1221</v>
      </c>
      <c r="F266" s="6">
        <v>3</v>
      </c>
      <c r="G266" s="65">
        <v>2366.83</v>
      </c>
      <c r="H266" s="6" t="s">
        <v>1216</v>
      </c>
      <c r="I266" s="6" t="s">
        <v>1217</v>
      </c>
      <c r="J266" s="6" t="s">
        <v>227</v>
      </c>
      <c r="K266" s="68">
        <f>Row_Data!$F266*Row_Data!$G266</f>
        <v>7100.49</v>
      </c>
      <c r="L266" s="69" t="str">
        <f>TEXT(Row_Data!$B266,"MMM "&amp;"YYY")</f>
        <v>Jun 2025</v>
      </c>
    </row>
    <row r="267" spans="1:12" hidden="1" x14ac:dyDescent="0.3">
      <c r="A267" s="6">
        <v>5469</v>
      </c>
      <c r="B267" s="64">
        <v>45812</v>
      </c>
      <c r="C267" s="6" t="s">
        <v>598</v>
      </c>
      <c r="D267" s="6" t="s">
        <v>1223</v>
      </c>
      <c r="E267" s="6" t="s">
        <v>1221</v>
      </c>
      <c r="F267" s="6">
        <v>2</v>
      </c>
      <c r="G267" s="65">
        <v>4055.24</v>
      </c>
      <c r="H267" s="6" t="s">
        <v>1216</v>
      </c>
      <c r="I267" s="6" t="s">
        <v>1227</v>
      </c>
      <c r="J267" s="6" t="s">
        <v>637</v>
      </c>
      <c r="K267" s="68">
        <f>Row_Data!$F267*Row_Data!$G267</f>
        <v>8110.48</v>
      </c>
      <c r="L267" s="69" t="str">
        <f>TEXT(Row_Data!$B267,"MMM "&amp;"YYY")</f>
        <v>Jun 2025</v>
      </c>
    </row>
    <row r="268" spans="1:12" hidden="1" x14ac:dyDescent="0.3">
      <c r="A268" s="6">
        <v>4701</v>
      </c>
      <c r="B268" s="64">
        <v>45813</v>
      </c>
      <c r="C268" s="6" t="s">
        <v>600</v>
      </c>
      <c r="D268" s="6" t="s">
        <v>1218</v>
      </c>
      <c r="E268" s="6" t="s">
        <v>1212</v>
      </c>
      <c r="F268" s="6">
        <v>3</v>
      </c>
      <c r="G268" s="65">
        <v>4033.71</v>
      </c>
      <c r="H268" s="6" t="s">
        <v>1213</v>
      </c>
      <c r="I268" s="6" t="s">
        <v>1227</v>
      </c>
      <c r="J268" s="6" t="s">
        <v>685</v>
      </c>
      <c r="K268" s="68">
        <f>Row_Data!$F268*Row_Data!$G268</f>
        <v>12101.130000000001</v>
      </c>
      <c r="L268" s="69" t="str">
        <f>TEXT(Row_Data!$B268,"MMM "&amp;"YYY")</f>
        <v>Jun 2025</v>
      </c>
    </row>
    <row r="269" spans="1:12" hidden="1" x14ac:dyDescent="0.3">
      <c r="A269" s="6">
        <v>2569</v>
      </c>
      <c r="B269" s="64">
        <v>45813</v>
      </c>
      <c r="C269" s="6" t="s">
        <v>602</v>
      </c>
      <c r="D269" s="6" t="s">
        <v>1211</v>
      </c>
      <c r="E269" s="6" t="s">
        <v>1221</v>
      </c>
      <c r="F269" s="6">
        <v>4</v>
      </c>
      <c r="G269" s="65">
        <v>606.39</v>
      </c>
      <c r="H269" s="6" t="s">
        <v>1213</v>
      </c>
      <c r="I269" s="6" t="s">
        <v>1214</v>
      </c>
      <c r="J269" s="6" t="s">
        <v>492</v>
      </c>
      <c r="K269" s="68">
        <f>Row_Data!$F269*Row_Data!$G269</f>
        <v>2425.56</v>
      </c>
      <c r="L269" s="69" t="str">
        <f>TEXT(Row_Data!$B269,"MMM "&amp;"YYY")</f>
        <v>Jun 2025</v>
      </c>
    </row>
    <row r="270" spans="1:12" hidden="1" x14ac:dyDescent="0.3">
      <c r="A270" s="6">
        <v>8821</v>
      </c>
      <c r="B270" s="64">
        <v>45814</v>
      </c>
      <c r="C270" s="6" t="s">
        <v>604</v>
      </c>
      <c r="D270" s="6" t="s">
        <v>1219</v>
      </c>
      <c r="E270" s="6" t="s">
        <v>1212</v>
      </c>
      <c r="F270" s="6">
        <v>5</v>
      </c>
      <c r="G270" s="65">
        <v>3947.84</v>
      </c>
      <c r="H270" s="6" t="s">
        <v>1216</v>
      </c>
      <c r="I270" s="6" t="s">
        <v>1217</v>
      </c>
      <c r="J270" s="6" t="s">
        <v>585</v>
      </c>
      <c r="K270" s="68">
        <f>Row_Data!$F270*Row_Data!$G270</f>
        <v>19739.2</v>
      </c>
      <c r="L270" s="69" t="str">
        <f>TEXT(Row_Data!$B270,"MMM "&amp;"YYY")</f>
        <v>Jun 2025</v>
      </c>
    </row>
    <row r="271" spans="1:12" hidden="1" x14ac:dyDescent="0.3">
      <c r="A271" s="6">
        <v>1225</v>
      </c>
      <c r="B271" s="64">
        <v>45814</v>
      </c>
      <c r="C271" s="6" t="s">
        <v>606</v>
      </c>
      <c r="D271" s="6" t="s">
        <v>1223</v>
      </c>
      <c r="E271" s="6" t="s">
        <v>1226</v>
      </c>
      <c r="F271" s="6">
        <v>2</v>
      </c>
      <c r="G271" s="65">
        <v>281.16000000000003</v>
      </c>
      <c r="H271" s="6" t="s">
        <v>1216</v>
      </c>
      <c r="I271" s="6" t="s">
        <v>1217</v>
      </c>
      <c r="J271" s="6" t="s">
        <v>364</v>
      </c>
      <c r="K271" s="68">
        <f>Row_Data!$F271*Row_Data!$G271</f>
        <v>562.32000000000005</v>
      </c>
      <c r="L271" s="69" t="str">
        <f>TEXT(Row_Data!$B271,"MMM "&amp;"YYY")</f>
        <v>Jun 2025</v>
      </c>
    </row>
    <row r="272" spans="1:12" hidden="1" x14ac:dyDescent="0.3">
      <c r="A272" s="6">
        <v>5108</v>
      </c>
      <c r="B272" s="64">
        <v>45815</v>
      </c>
      <c r="C272" s="6" t="s">
        <v>608</v>
      </c>
      <c r="D272" s="6" t="s">
        <v>1224</v>
      </c>
      <c r="E272" s="6" t="s">
        <v>1221</v>
      </c>
      <c r="F272" s="6">
        <v>3</v>
      </c>
      <c r="G272" s="65">
        <v>940.82</v>
      </c>
      <c r="H272" s="6" t="s">
        <v>1216</v>
      </c>
      <c r="I272" s="6" t="s">
        <v>1217</v>
      </c>
      <c r="J272" s="6" t="s">
        <v>448</v>
      </c>
      <c r="K272" s="68">
        <f>Row_Data!$F272*Row_Data!$G272</f>
        <v>2822.46</v>
      </c>
      <c r="L272" s="69" t="str">
        <f>TEXT(Row_Data!$B272,"MMM "&amp;"YYY")</f>
        <v>Jun 2025</v>
      </c>
    </row>
    <row r="273" spans="1:12" hidden="1" x14ac:dyDescent="0.3">
      <c r="A273" s="6">
        <v>8538</v>
      </c>
      <c r="B273" s="64">
        <v>45816</v>
      </c>
      <c r="C273" s="6" t="s">
        <v>610</v>
      </c>
      <c r="D273" s="6" t="s">
        <v>1223</v>
      </c>
      <c r="E273" s="6" t="s">
        <v>1221</v>
      </c>
      <c r="F273" s="6">
        <v>3</v>
      </c>
      <c r="G273" s="65">
        <v>1828.44</v>
      </c>
      <c r="H273" s="6" t="s">
        <v>1213</v>
      </c>
      <c r="I273" s="6" t="s">
        <v>1217</v>
      </c>
      <c r="J273" s="6" t="s">
        <v>220</v>
      </c>
      <c r="K273" s="68">
        <f>Row_Data!$F273*Row_Data!$G273</f>
        <v>5485.32</v>
      </c>
      <c r="L273" s="69" t="str">
        <f>TEXT(Row_Data!$B273,"MMM "&amp;"YYY")</f>
        <v>Jun 2025</v>
      </c>
    </row>
    <row r="274" spans="1:12" hidden="1" x14ac:dyDescent="0.3">
      <c r="A274" s="6">
        <v>6476</v>
      </c>
      <c r="B274" s="64">
        <v>45817</v>
      </c>
      <c r="C274" s="6" t="s">
        <v>612</v>
      </c>
      <c r="D274" s="6" t="s">
        <v>1211</v>
      </c>
      <c r="E274" s="6" t="s">
        <v>1226</v>
      </c>
      <c r="F274" s="6">
        <v>4</v>
      </c>
      <c r="G274" s="65">
        <v>3387.95</v>
      </c>
      <c r="H274" s="6" t="s">
        <v>1213</v>
      </c>
      <c r="I274" s="6" t="s">
        <v>1227</v>
      </c>
      <c r="J274" s="6" t="s">
        <v>259</v>
      </c>
      <c r="K274" s="68">
        <f>Row_Data!$F274*Row_Data!$G274</f>
        <v>13551.8</v>
      </c>
      <c r="L274" s="69" t="str">
        <f>TEXT(Row_Data!$B274,"MMM "&amp;"YYY")</f>
        <v>Jun 2025</v>
      </c>
    </row>
    <row r="275" spans="1:12" hidden="1" x14ac:dyDescent="0.3">
      <c r="A275" s="6">
        <v>7050</v>
      </c>
      <c r="B275" s="64">
        <v>45818</v>
      </c>
      <c r="C275" s="6" t="s">
        <v>614</v>
      </c>
      <c r="D275" s="6" t="s">
        <v>1229</v>
      </c>
      <c r="E275" s="6" t="s">
        <v>1226</v>
      </c>
      <c r="F275" s="6">
        <v>2</v>
      </c>
      <c r="G275" s="65">
        <v>653.11</v>
      </c>
      <c r="H275" s="6" t="s">
        <v>1213</v>
      </c>
      <c r="I275" s="6" t="s">
        <v>1217</v>
      </c>
      <c r="J275" s="6" t="s">
        <v>406</v>
      </c>
      <c r="K275" s="68">
        <f>Row_Data!$F275*Row_Data!$G275</f>
        <v>1306.22</v>
      </c>
      <c r="L275" s="69" t="str">
        <f>TEXT(Row_Data!$B275,"MMM "&amp;"YYY")</f>
        <v>Jun 2025</v>
      </c>
    </row>
    <row r="276" spans="1:12" hidden="1" x14ac:dyDescent="0.3">
      <c r="A276" s="6">
        <v>6559</v>
      </c>
      <c r="B276" s="64">
        <v>45819</v>
      </c>
      <c r="C276" s="6" t="s">
        <v>616</v>
      </c>
      <c r="D276" s="6" t="s">
        <v>1222</v>
      </c>
      <c r="E276" s="6" t="s">
        <v>1221</v>
      </c>
      <c r="F276" s="6">
        <v>2</v>
      </c>
      <c r="G276" s="65">
        <v>2456.52</v>
      </c>
      <c r="H276" s="6" t="s">
        <v>1220</v>
      </c>
      <c r="I276" s="6" t="s">
        <v>1214</v>
      </c>
      <c r="J276" s="6" t="s">
        <v>134</v>
      </c>
      <c r="K276" s="68">
        <f>Row_Data!$F276*Row_Data!$G276</f>
        <v>4913.04</v>
      </c>
      <c r="L276" s="69" t="str">
        <f>TEXT(Row_Data!$B276,"MMM "&amp;"YYY")</f>
        <v>Jun 2025</v>
      </c>
    </row>
    <row r="277" spans="1:12" hidden="1" x14ac:dyDescent="0.3">
      <c r="A277" s="6">
        <v>6180</v>
      </c>
      <c r="B277" s="64">
        <v>45820</v>
      </c>
      <c r="C277" s="6" t="s">
        <v>618</v>
      </c>
      <c r="D277" s="6" t="s">
        <v>1219</v>
      </c>
      <c r="E277" s="6" t="s">
        <v>1221</v>
      </c>
      <c r="F277" s="6">
        <v>2</v>
      </c>
      <c r="G277" s="65">
        <v>4166.3900000000003</v>
      </c>
      <c r="H277" s="6" t="s">
        <v>1216</v>
      </c>
      <c r="I277" s="6" t="s">
        <v>1217</v>
      </c>
      <c r="J277" s="6" t="s">
        <v>388</v>
      </c>
      <c r="K277" s="68">
        <f>Row_Data!$F277*Row_Data!$G277</f>
        <v>8332.7800000000007</v>
      </c>
      <c r="L277" s="69" t="str">
        <f>TEXT(Row_Data!$B277,"MMM "&amp;"YYY")</f>
        <v>Jun 2025</v>
      </c>
    </row>
    <row r="278" spans="1:12" hidden="1" x14ac:dyDescent="0.3">
      <c r="A278" s="6">
        <v>7229</v>
      </c>
      <c r="B278" s="64">
        <v>45821</v>
      </c>
      <c r="C278" s="6" t="s">
        <v>620</v>
      </c>
      <c r="D278" s="6" t="s">
        <v>1225</v>
      </c>
      <c r="E278" s="6" t="s">
        <v>1221</v>
      </c>
      <c r="F278" s="6">
        <v>4</v>
      </c>
      <c r="G278" s="65">
        <v>741.96</v>
      </c>
      <c r="H278" s="6" t="s">
        <v>1216</v>
      </c>
      <c r="I278" s="6" t="s">
        <v>1214</v>
      </c>
      <c r="J278" s="6" t="s">
        <v>198</v>
      </c>
      <c r="K278" s="68">
        <f>Row_Data!$F278*Row_Data!$G278</f>
        <v>2967.84</v>
      </c>
      <c r="L278" s="69" t="str">
        <f>TEXT(Row_Data!$B278,"MMM "&amp;"YYY")</f>
        <v>Jun 2025</v>
      </c>
    </row>
    <row r="279" spans="1:12" hidden="1" x14ac:dyDescent="0.3">
      <c r="A279" s="6">
        <v>6758</v>
      </c>
      <c r="B279" s="64">
        <v>45822</v>
      </c>
      <c r="C279" s="6" t="s">
        <v>622</v>
      </c>
      <c r="D279" s="6" t="s">
        <v>1223</v>
      </c>
      <c r="E279" s="6" t="s">
        <v>1226</v>
      </c>
      <c r="F279" s="6">
        <v>1</v>
      </c>
      <c r="G279" s="65">
        <v>321.88</v>
      </c>
      <c r="H279" s="6" t="s">
        <v>1213</v>
      </c>
      <c r="I279" s="6" t="s">
        <v>1217</v>
      </c>
      <c r="J279" s="6" t="s">
        <v>699</v>
      </c>
      <c r="K279" s="68">
        <f>Row_Data!$F279*Row_Data!$G279</f>
        <v>321.88</v>
      </c>
      <c r="L279" s="69" t="str">
        <f>TEXT(Row_Data!$B279,"MMM "&amp;"YYY")</f>
        <v>Jun 2025</v>
      </c>
    </row>
    <row r="280" spans="1:12" hidden="1" x14ac:dyDescent="0.3">
      <c r="A280" s="6">
        <v>5927</v>
      </c>
      <c r="B280" s="64">
        <v>45822</v>
      </c>
      <c r="C280" s="6" t="s">
        <v>624</v>
      </c>
      <c r="D280" s="6" t="s">
        <v>1222</v>
      </c>
      <c r="E280" s="6" t="s">
        <v>1226</v>
      </c>
      <c r="F280" s="6">
        <v>2</v>
      </c>
      <c r="G280" s="65">
        <v>3587.85</v>
      </c>
      <c r="H280" s="6" t="s">
        <v>1216</v>
      </c>
      <c r="I280" s="6" t="s">
        <v>1227</v>
      </c>
      <c r="J280" s="6" t="s">
        <v>204</v>
      </c>
      <c r="K280" s="68">
        <f>Row_Data!$F280*Row_Data!$G280</f>
        <v>7175.7</v>
      </c>
      <c r="L280" s="69" t="str">
        <f>TEXT(Row_Data!$B280,"MMM "&amp;"YYY")</f>
        <v>Jun 2025</v>
      </c>
    </row>
    <row r="281" spans="1:12" hidden="1" x14ac:dyDescent="0.3">
      <c r="A281" s="6">
        <v>8879</v>
      </c>
      <c r="B281" s="64">
        <v>45823</v>
      </c>
      <c r="C281" s="6" t="s">
        <v>626</v>
      </c>
      <c r="D281" s="6" t="s">
        <v>1228</v>
      </c>
      <c r="E281" s="6" t="s">
        <v>1212</v>
      </c>
      <c r="F281" s="6">
        <v>1</v>
      </c>
      <c r="G281" s="65">
        <v>3245.83</v>
      </c>
      <c r="H281" s="6" t="s">
        <v>1216</v>
      </c>
      <c r="I281" s="6" t="s">
        <v>1217</v>
      </c>
      <c r="J281" s="6" t="s">
        <v>168</v>
      </c>
      <c r="K281" s="68">
        <f>Row_Data!$F281*Row_Data!$G281</f>
        <v>3245.83</v>
      </c>
      <c r="L281" s="69" t="str">
        <f>TEXT(Row_Data!$B281,"MMM "&amp;"YYY")</f>
        <v>Jun 2025</v>
      </c>
    </row>
    <row r="282" spans="1:12" hidden="1" x14ac:dyDescent="0.3">
      <c r="A282" s="6">
        <v>1760</v>
      </c>
      <c r="B282" s="64">
        <v>45824</v>
      </c>
      <c r="C282" s="6" t="s">
        <v>628</v>
      </c>
      <c r="D282" s="6" t="s">
        <v>1223</v>
      </c>
      <c r="E282" s="6" t="s">
        <v>1212</v>
      </c>
      <c r="F282" s="6">
        <v>3</v>
      </c>
      <c r="G282" s="65">
        <v>174.98</v>
      </c>
      <c r="H282" s="6" t="s">
        <v>1220</v>
      </c>
      <c r="I282" s="6" t="s">
        <v>1227</v>
      </c>
      <c r="J282" s="6" t="s">
        <v>536</v>
      </c>
      <c r="K282" s="68">
        <f>Row_Data!$F282*Row_Data!$G282</f>
        <v>524.93999999999994</v>
      </c>
      <c r="L282" s="69" t="str">
        <f>TEXT(Row_Data!$B282,"MMM "&amp;"YYY")</f>
        <v>Jun 2025</v>
      </c>
    </row>
    <row r="283" spans="1:12" hidden="1" x14ac:dyDescent="0.3">
      <c r="A283" s="6">
        <v>2371</v>
      </c>
      <c r="B283" s="64">
        <v>45825</v>
      </c>
      <c r="C283" s="6" t="s">
        <v>630</v>
      </c>
      <c r="D283" s="6" t="s">
        <v>1222</v>
      </c>
      <c r="E283" s="6" t="s">
        <v>1221</v>
      </c>
      <c r="F283" s="6">
        <v>4</v>
      </c>
      <c r="G283" s="65">
        <v>3211.68</v>
      </c>
      <c r="H283" s="6" t="s">
        <v>1220</v>
      </c>
      <c r="I283" s="6" t="s">
        <v>1227</v>
      </c>
      <c r="J283" s="6" t="s">
        <v>241</v>
      </c>
      <c r="K283" s="68">
        <f>Row_Data!$F283*Row_Data!$G283</f>
        <v>12846.72</v>
      </c>
      <c r="L283" s="69" t="str">
        <f>TEXT(Row_Data!$B283,"MMM "&amp;"YYY")</f>
        <v>Jun 2025</v>
      </c>
    </row>
    <row r="284" spans="1:12" hidden="1" x14ac:dyDescent="0.3">
      <c r="A284" s="6">
        <v>9456</v>
      </c>
      <c r="B284" s="64">
        <v>45826</v>
      </c>
      <c r="C284" s="6" t="s">
        <v>632</v>
      </c>
      <c r="D284" s="6" t="s">
        <v>1219</v>
      </c>
      <c r="E284" s="6" t="s">
        <v>1221</v>
      </c>
      <c r="F284" s="6">
        <v>5</v>
      </c>
      <c r="G284" s="65">
        <v>4347.83</v>
      </c>
      <c r="H284" s="6" t="s">
        <v>1213</v>
      </c>
      <c r="I284" s="6" t="s">
        <v>1214</v>
      </c>
      <c r="J284" s="6" t="s">
        <v>410</v>
      </c>
      <c r="K284" s="68">
        <f>Row_Data!$F284*Row_Data!$G284</f>
        <v>21739.15</v>
      </c>
      <c r="L284" s="69" t="str">
        <f>TEXT(Row_Data!$B284,"MMM "&amp;"YYY")</f>
        <v>Jun 2025</v>
      </c>
    </row>
    <row r="285" spans="1:12" hidden="1" x14ac:dyDescent="0.3">
      <c r="A285" s="6">
        <v>2465</v>
      </c>
      <c r="B285" s="64">
        <v>45826</v>
      </c>
      <c r="C285" s="6" t="s">
        <v>634</v>
      </c>
      <c r="D285" s="6" t="s">
        <v>1215</v>
      </c>
      <c r="E285" s="6" t="s">
        <v>1221</v>
      </c>
      <c r="F285" s="6">
        <v>3</v>
      </c>
      <c r="G285" s="65">
        <v>1930.68</v>
      </c>
      <c r="H285" s="6" t="s">
        <v>1213</v>
      </c>
      <c r="I285" s="6" t="s">
        <v>1217</v>
      </c>
      <c r="J285" s="6" t="s">
        <v>408</v>
      </c>
      <c r="K285" s="68">
        <f>Row_Data!$F285*Row_Data!$G285</f>
        <v>5792.04</v>
      </c>
      <c r="L285" s="69" t="str">
        <f>TEXT(Row_Data!$B285,"MMM "&amp;"YYY")</f>
        <v>Jun 2025</v>
      </c>
    </row>
    <row r="286" spans="1:12" hidden="1" x14ac:dyDescent="0.3">
      <c r="A286" s="6">
        <v>3894</v>
      </c>
      <c r="B286" s="64">
        <v>45826</v>
      </c>
      <c r="C286" s="6" t="s">
        <v>636</v>
      </c>
      <c r="D286" s="6" t="s">
        <v>1225</v>
      </c>
      <c r="E286" s="6" t="s">
        <v>1212</v>
      </c>
      <c r="F286" s="6">
        <v>5</v>
      </c>
      <c r="G286" s="65">
        <v>946.1</v>
      </c>
      <c r="H286" s="6" t="s">
        <v>1220</v>
      </c>
      <c r="I286" s="6" t="s">
        <v>1217</v>
      </c>
      <c r="J286" s="6" t="s">
        <v>292</v>
      </c>
      <c r="K286" s="68">
        <f>Row_Data!$F286*Row_Data!$G286</f>
        <v>4730.5</v>
      </c>
      <c r="L286" s="69" t="str">
        <f>TEXT(Row_Data!$B286,"MMM "&amp;"YYY")</f>
        <v>Jun 2025</v>
      </c>
    </row>
    <row r="287" spans="1:12" hidden="1" x14ac:dyDescent="0.3">
      <c r="A287" s="6">
        <v>9550</v>
      </c>
      <c r="B287" s="64">
        <v>45826</v>
      </c>
      <c r="C287" s="6" t="s">
        <v>638</v>
      </c>
      <c r="D287" s="6" t="s">
        <v>1228</v>
      </c>
      <c r="E287" s="6" t="s">
        <v>1221</v>
      </c>
      <c r="F287" s="6">
        <v>2</v>
      </c>
      <c r="G287" s="65">
        <v>3302.91</v>
      </c>
      <c r="H287" s="6" t="s">
        <v>1213</v>
      </c>
      <c r="I287" s="6" t="s">
        <v>1217</v>
      </c>
      <c r="J287" s="6" t="s">
        <v>374</v>
      </c>
      <c r="K287" s="68">
        <f>Row_Data!$F287*Row_Data!$G287</f>
        <v>6605.82</v>
      </c>
      <c r="L287" s="69" t="str">
        <f>TEXT(Row_Data!$B287,"MMM "&amp;"YYY")</f>
        <v>Jun 2025</v>
      </c>
    </row>
    <row r="288" spans="1:12" hidden="1" x14ac:dyDescent="0.3">
      <c r="A288" s="6">
        <v>1576</v>
      </c>
      <c r="B288" s="64">
        <v>45828</v>
      </c>
      <c r="C288" s="6" t="s">
        <v>640</v>
      </c>
      <c r="D288" s="6" t="s">
        <v>1218</v>
      </c>
      <c r="E288" s="6" t="s">
        <v>1212</v>
      </c>
      <c r="F288" s="6">
        <v>4</v>
      </c>
      <c r="G288" s="65">
        <v>4756.6499999999996</v>
      </c>
      <c r="H288" s="6" t="s">
        <v>1220</v>
      </c>
      <c r="I288" s="6" t="s">
        <v>1227</v>
      </c>
      <c r="J288" s="6" t="s">
        <v>152</v>
      </c>
      <c r="K288" s="68">
        <f>Row_Data!$F288*Row_Data!$G288</f>
        <v>19026.599999999999</v>
      </c>
      <c r="L288" s="69" t="str">
        <f>TEXT(Row_Data!$B288,"MMM "&amp;"YYY")</f>
        <v>Jun 2025</v>
      </c>
    </row>
    <row r="289" spans="1:12" hidden="1" x14ac:dyDescent="0.3">
      <c r="A289" s="6">
        <v>9649</v>
      </c>
      <c r="B289" s="64">
        <v>45828</v>
      </c>
      <c r="C289" s="6" t="s">
        <v>642</v>
      </c>
      <c r="D289" s="6" t="s">
        <v>1215</v>
      </c>
      <c r="E289" s="6" t="s">
        <v>1226</v>
      </c>
      <c r="F289" s="6">
        <v>1</v>
      </c>
      <c r="G289" s="65">
        <v>3416.23</v>
      </c>
      <c r="H289" s="6" t="s">
        <v>1216</v>
      </c>
      <c r="I289" s="6" t="s">
        <v>1217</v>
      </c>
      <c r="J289" s="6" t="s">
        <v>178</v>
      </c>
      <c r="K289" s="68">
        <f>Row_Data!$F289*Row_Data!$G289</f>
        <v>3416.23</v>
      </c>
      <c r="L289" s="69" t="str">
        <f>TEXT(Row_Data!$B289,"MMM "&amp;"YYY")</f>
        <v>Jun 2025</v>
      </c>
    </row>
    <row r="290" spans="1:12" hidden="1" x14ac:dyDescent="0.3">
      <c r="A290" s="6">
        <v>9907</v>
      </c>
      <c r="B290" s="64">
        <v>45828</v>
      </c>
      <c r="C290" s="6" t="s">
        <v>644</v>
      </c>
      <c r="D290" s="6" t="s">
        <v>1229</v>
      </c>
      <c r="E290" s="6" t="s">
        <v>1212</v>
      </c>
      <c r="F290" s="6">
        <v>3</v>
      </c>
      <c r="G290" s="65">
        <v>1211.7</v>
      </c>
      <c r="H290" s="6" t="s">
        <v>1216</v>
      </c>
      <c r="I290" s="6" t="s">
        <v>1217</v>
      </c>
      <c r="J290" s="6" t="s">
        <v>422</v>
      </c>
      <c r="K290" s="68">
        <f>Row_Data!$F290*Row_Data!$G290</f>
        <v>3635.1000000000004</v>
      </c>
      <c r="L290" s="69" t="str">
        <f>TEXT(Row_Data!$B290,"MMM "&amp;"YYY")</f>
        <v>Jun 2025</v>
      </c>
    </row>
    <row r="291" spans="1:12" hidden="1" x14ac:dyDescent="0.3">
      <c r="A291" s="6">
        <v>5189</v>
      </c>
      <c r="B291" s="64">
        <v>45829</v>
      </c>
      <c r="C291" s="6" t="s">
        <v>646</v>
      </c>
      <c r="D291" s="6" t="s">
        <v>1229</v>
      </c>
      <c r="E291" s="6" t="s">
        <v>1221</v>
      </c>
      <c r="F291" s="6">
        <v>5</v>
      </c>
      <c r="G291" s="65">
        <v>3839.61</v>
      </c>
      <c r="H291" s="6" t="s">
        <v>1213</v>
      </c>
      <c r="I291" s="6" t="s">
        <v>1217</v>
      </c>
      <c r="J291" s="6" t="s">
        <v>705</v>
      </c>
      <c r="K291" s="68">
        <f>Row_Data!$F291*Row_Data!$G291</f>
        <v>19198.05</v>
      </c>
      <c r="L291" s="69" t="str">
        <f>TEXT(Row_Data!$B291,"MMM "&amp;"YYY")</f>
        <v>Jun 2025</v>
      </c>
    </row>
    <row r="292" spans="1:12" hidden="1" x14ac:dyDescent="0.3">
      <c r="A292" s="6">
        <v>3664</v>
      </c>
      <c r="B292" s="64">
        <v>45830</v>
      </c>
      <c r="C292" s="6" t="s">
        <v>648</v>
      </c>
      <c r="D292" s="6" t="s">
        <v>1218</v>
      </c>
      <c r="E292" s="6" t="s">
        <v>1212</v>
      </c>
      <c r="F292" s="6">
        <v>2</v>
      </c>
      <c r="G292" s="65">
        <v>3897.38</v>
      </c>
      <c r="H292" s="6" t="s">
        <v>1213</v>
      </c>
      <c r="I292" s="6" t="s">
        <v>1217</v>
      </c>
      <c r="J292" s="6" t="s">
        <v>663</v>
      </c>
      <c r="K292" s="68">
        <f>Row_Data!$F292*Row_Data!$G292</f>
        <v>7794.76</v>
      </c>
      <c r="L292" s="69" t="str">
        <f>TEXT(Row_Data!$B292,"MMM "&amp;"YYY")</f>
        <v>Jun 2025</v>
      </c>
    </row>
    <row r="293" spans="1:12" hidden="1" x14ac:dyDescent="0.3">
      <c r="A293" s="6">
        <v>4983</v>
      </c>
      <c r="B293" s="64">
        <v>45831</v>
      </c>
      <c r="C293" s="6" t="s">
        <v>650</v>
      </c>
      <c r="D293" s="6" t="s">
        <v>1211</v>
      </c>
      <c r="E293" s="6" t="s">
        <v>1221</v>
      </c>
      <c r="F293" s="6">
        <v>5</v>
      </c>
      <c r="G293" s="65">
        <v>4099.09</v>
      </c>
      <c r="H293" s="6" t="s">
        <v>1220</v>
      </c>
      <c r="I293" s="6" t="s">
        <v>1227</v>
      </c>
      <c r="J293" s="6" t="s">
        <v>432</v>
      </c>
      <c r="K293" s="68">
        <f>Row_Data!$F293*Row_Data!$G293</f>
        <v>20495.45</v>
      </c>
      <c r="L293" s="69" t="str">
        <f>TEXT(Row_Data!$B293,"MMM "&amp;"YYY")</f>
        <v>Jun 2025</v>
      </c>
    </row>
    <row r="294" spans="1:12" hidden="1" x14ac:dyDescent="0.3">
      <c r="A294" s="6">
        <v>9253</v>
      </c>
      <c r="B294" s="64">
        <v>45834</v>
      </c>
      <c r="C294" s="6" t="s">
        <v>652</v>
      </c>
      <c r="D294" s="6" t="s">
        <v>1215</v>
      </c>
      <c r="E294" s="6" t="s">
        <v>1212</v>
      </c>
      <c r="F294" s="6">
        <v>3</v>
      </c>
      <c r="G294" s="65">
        <v>2631.86</v>
      </c>
      <c r="H294" s="6" t="s">
        <v>1220</v>
      </c>
      <c r="I294" s="6" t="s">
        <v>1217</v>
      </c>
      <c r="J294" s="6" t="s">
        <v>631</v>
      </c>
      <c r="K294" s="68">
        <f>Row_Data!$F294*Row_Data!$G294</f>
        <v>7895.58</v>
      </c>
      <c r="L294" s="69" t="str">
        <f>TEXT(Row_Data!$B294,"MMM "&amp;"YYY")</f>
        <v>Jun 2025</v>
      </c>
    </row>
    <row r="295" spans="1:12" hidden="1" x14ac:dyDescent="0.3">
      <c r="A295" s="6">
        <v>1970</v>
      </c>
      <c r="B295" s="64">
        <v>45834</v>
      </c>
      <c r="C295" s="6" t="s">
        <v>654</v>
      </c>
      <c r="D295" s="6" t="s">
        <v>1229</v>
      </c>
      <c r="E295" s="6" t="s">
        <v>1226</v>
      </c>
      <c r="F295" s="6">
        <v>3</v>
      </c>
      <c r="G295" s="65">
        <v>4499.92</v>
      </c>
      <c r="H295" s="6" t="s">
        <v>1216</v>
      </c>
      <c r="I295" s="6" t="s">
        <v>1214</v>
      </c>
      <c r="J295" s="6" t="s">
        <v>290</v>
      </c>
      <c r="K295" s="68">
        <f>Row_Data!$F295*Row_Data!$G295</f>
        <v>13499.76</v>
      </c>
      <c r="L295" s="69" t="str">
        <f>TEXT(Row_Data!$B295,"MMM "&amp;"YYY")</f>
        <v>Jun 2025</v>
      </c>
    </row>
    <row r="296" spans="1:12" hidden="1" x14ac:dyDescent="0.3">
      <c r="A296" s="6">
        <v>8432</v>
      </c>
      <c r="B296" s="64">
        <v>45834</v>
      </c>
      <c r="C296" s="6" t="s">
        <v>656</v>
      </c>
      <c r="D296" s="6" t="s">
        <v>1219</v>
      </c>
      <c r="E296" s="6" t="s">
        <v>1221</v>
      </c>
      <c r="F296" s="6">
        <v>3</v>
      </c>
      <c r="G296" s="65">
        <v>2773.52</v>
      </c>
      <c r="H296" s="6" t="s">
        <v>1216</v>
      </c>
      <c r="I296" s="6" t="s">
        <v>1227</v>
      </c>
      <c r="J296" s="6" t="s">
        <v>296</v>
      </c>
      <c r="K296" s="68">
        <f>Row_Data!$F296*Row_Data!$G296</f>
        <v>8320.56</v>
      </c>
      <c r="L296" s="69" t="str">
        <f>TEXT(Row_Data!$B296,"MMM "&amp;"YYY")</f>
        <v>Jun 2025</v>
      </c>
    </row>
    <row r="297" spans="1:12" hidden="1" x14ac:dyDescent="0.3">
      <c r="A297" s="6">
        <v>5412</v>
      </c>
      <c r="B297" s="64">
        <v>45834</v>
      </c>
      <c r="C297" s="6" t="s">
        <v>658</v>
      </c>
      <c r="D297" s="6" t="s">
        <v>1228</v>
      </c>
      <c r="E297" s="6" t="s">
        <v>1212</v>
      </c>
      <c r="F297" s="6">
        <v>3</v>
      </c>
      <c r="G297" s="65">
        <v>2988.81</v>
      </c>
      <c r="H297" s="6" t="s">
        <v>1216</v>
      </c>
      <c r="I297" s="6" t="s">
        <v>1214</v>
      </c>
      <c r="J297" s="6" t="s">
        <v>344</v>
      </c>
      <c r="K297" s="68">
        <f>Row_Data!$F297*Row_Data!$G297</f>
        <v>8966.43</v>
      </c>
      <c r="L297" s="69" t="str">
        <f>TEXT(Row_Data!$B297,"MMM "&amp;"YYY")</f>
        <v>Jun 2025</v>
      </c>
    </row>
    <row r="298" spans="1:12" hidden="1" x14ac:dyDescent="0.3">
      <c r="A298" s="6">
        <v>6632</v>
      </c>
      <c r="B298" s="64">
        <v>45835</v>
      </c>
      <c r="C298" s="6" t="s">
        <v>660</v>
      </c>
      <c r="D298" s="6" t="s">
        <v>1211</v>
      </c>
      <c r="E298" s="6" t="s">
        <v>1226</v>
      </c>
      <c r="F298" s="6">
        <v>2</v>
      </c>
      <c r="G298" s="65">
        <v>3692.06</v>
      </c>
      <c r="H298" s="6" t="s">
        <v>1216</v>
      </c>
      <c r="I298" s="6" t="s">
        <v>1214</v>
      </c>
      <c r="J298" s="6" t="s">
        <v>225</v>
      </c>
      <c r="K298" s="68">
        <f>Row_Data!$F298*Row_Data!$G298</f>
        <v>7384.12</v>
      </c>
      <c r="L298" s="69" t="str">
        <f>TEXT(Row_Data!$B298,"MMM "&amp;"YYY")</f>
        <v>Jun 2025</v>
      </c>
    </row>
    <row r="299" spans="1:12" hidden="1" x14ac:dyDescent="0.3">
      <c r="A299" s="6">
        <v>9599</v>
      </c>
      <c r="B299" s="64">
        <v>45835</v>
      </c>
      <c r="C299" s="6" t="s">
        <v>662</v>
      </c>
      <c r="D299" s="6" t="s">
        <v>1218</v>
      </c>
      <c r="E299" s="6" t="s">
        <v>1221</v>
      </c>
      <c r="F299" s="6">
        <v>5</v>
      </c>
      <c r="G299" s="65">
        <v>1339.53</v>
      </c>
      <c r="H299" s="6" t="s">
        <v>1213</v>
      </c>
      <c r="I299" s="6" t="s">
        <v>1227</v>
      </c>
      <c r="J299" s="6" t="s">
        <v>106</v>
      </c>
      <c r="K299" s="68">
        <f>Row_Data!$F299*Row_Data!$G299</f>
        <v>6697.65</v>
      </c>
      <c r="L299" s="69" t="str">
        <f>TEXT(Row_Data!$B299,"MMM "&amp;"YYY")</f>
        <v>Jun 2025</v>
      </c>
    </row>
    <row r="300" spans="1:12" hidden="1" x14ac:dyDescent="0.3">
      <c r="A300" s="6">
        <v>9996</v>
      </c>
      <c r="B300" s="64">
        <v>45836</v>
      </c>
      <c r="C300" s="6" t="s">
        <v>664</v>
      </c>
      <c r="D300" s="6" t="s">
        <v>1218</v>
      </c>
      <c r="E300" s="6" t="s">
        <v>1212</v>
      </c>
      <c r="F300" s="6">
        <v>2</v>
      </c>
      <c r="G300" s="65">
        <v>3624.14</v>
      </c>
      <c r="H300" s="6" t="s">
        <v>1216</v>
      </c>
      <c r="I300" s="6" t="s">
        <v>1227</v>
      </c>
      <c r="J300" s="6" t="s">
        <v>110</v>
      </c>
      <c r="K300" s="68">
        <f>Row_Data!$F300*Row_Data!$G300</f>
        <v>7248.28</v>
      </c>
      <c r="L300" s="69" t="str">
        <f>TEXT(Row_Data!$B300,"MMM "&amp;"YYY")</f>
        <v>Jun 2025</v>
      </c>
    </row>
    <row r="301" spans="1:12" hidden="1" x14ac:dyDescent="0.3">
      <c r="A301" s="6">
        <v>2065</v>
      </c>
      <c r="B301" s="64">
        <v>45837</v>
      </c>
      <c r="C301" s="6" t="s">
        <v>666</v>
      </c>
      <c r="D301" s="6" t="s">
        <v>1225</v>
      </c>
      <c r="E301" s="6" t="s">
        <v>1221</v>
      </c>
      <c r="F301" s="6">
        <v>4</v>
      </c>
      <c r="G301" s="65">
        <v>4328.46</v>
      </c>
      <c r="H301" s="6" t="s">
        <v>1220</v>
      </c>
      <c r="I301" s="6" t="s">
        <v>1227</v>
      </c>
      <c r="J301" s="6" t="s">
        <v>440</v>
      </c>
      <c r="K301" s="68">
        <f>Row_Data!$F301*Row_Data!$G301</f>
        <v>17313.84</v>
      </c>
      <c r="L301" s="69" t="str">
        <f>TEXT(Row_Data!$B301,"MMM "&amp;"YYY")</f>
        <v>Jun 2025</v>
      </c>
    </row>
    <row r="302" spans="1:12" hidden="1" x14ac:dyDescent="0.3">
      <c r="A302" s="6">
        <v>9923</v>
      </c>
      <c r="B302" s="64">
        <v>45837</v>
      </c>
      <c r="C302" s="6" t="s">
        <v>668</v>
      </c>
      <c r="D302" s="6" t="s">
        <v>1225</v>
      </c>
      <c r="E302" s="6" t="s">
        <v>1221</v>
      </c>
      <c r="F302" s="6">
        <v>1</v>
      </c>
      <c r="G302" s="65">
        <v>346.17</v>
      </c>
      <c r="H302" s="6" t="s">
        <v>1213</v>
      </c>
      <c r="I302" s="6" t="s">
        <v>1227</v>
      </c>
      <c r="J302" s="6" t="s">
        <v>342</v>
      </c>
      <c r="K302" s="68">
        <f>Row_Data!$F302*Row_Data!$G302</f>
        <v>346.17</v>
      </c>
      <c r="L302" s="69" t="str">
        <f>TEXT(Row_Data!$B302,"MMM "&amp;"YYY")</f>
        <v>Jun 2025</v>
      </c>
    </row>
    <row r="303" spans="1:12" hidden="1" x14ac:dyDescent="0.3">
      <c r="A303" s="6">
        <v>9589</v>
      </c>
      <c r="B303" s="64">
        <v>45838</v>
      </c>
      <c r="C303" s="6" t="s">
        <v>670</v>
      </c>
      <c r="D303" s="6" t="s">
        <v>1225</v>
      </c>
      <c r="E303" s="6" t="s">
        <v>1226</v>
      </c>
      <c r="F303" s="6">
        <v>2</v>
      </c>
      <c r="G303" s="65">
        <v>2497.19</v>
      </c>
      <c r="H303" s="6" t="s">
        <v>1220</v>
      </c>
      <c r="I303" s="6" t="s">
        <v>1214</v>
      </c>
      <c r="J303" s="6" t="s">
        <v>108</v>
      </c>
      <c r="K303" s="68">
        <f>Row_Data!$F303*Row_Data!$G303</f>
        <v>4994.38</v>
      </c>
      <c r="L303" s="69" t="str">
        <f>TEXT(Row_Data!$B303,"MMM "&amp;"YYY")</f>
        <v>Jun 2025</v>
      </c>
    </row>
    <row r="304" spans="1:12" hidden="1" x14ac:dyDescent="0.3">
      <c r="A304" s="6">
        <v>1146</v>
      </c>
      <c r="B304" s="64">
        <v>45838</v>
      </c>
      <c r="C304" s="6" t="s">
        <v>672</v>
      </c>
      <c r="D304" s="6" t="s">
        <v>1223</v>
      </c>
      <c r="E304" s="6" t="s">
        <v>1212</v>
      </c>
      <c r="F304" s="6">
        <v>4</v>
      </c>
      <c r="G304" s="65">
        <v>1564.04</v>
      </c>
      <c r="H304" s="6" t="s">
        <v>1220</v>
      </c>
      <c r="I304" s="6" t="s">
        <v>1227</v>
      </c>
      <c r="J304" s="6" t="s">
        <v>336</v>
      </c>
      <c r="K304" s="68">
        <f>Row_Data!$F304*Row_Data!$G304</f>
        <v>6256.16</v>
      </c>
      <c r="L304" s="69" t="str">
        <f>TEXT(Row_Data!$B304,"MMM "&amp;"YYY")</f>
        <v>Jun 2025</v>
      </c>
    </row>
    <row r="305" spans="1:12" hidden="1" x14ac:dyDescent="0.3">
      <c r="A305" s="6">
        <v>5343</v>
      </c>
      <c r="B305" s="64">
        <v>45839</v>
      </c>
      <c r="C305" s="6" t="s">
        <v>674</v>
      </c>
      <c r="D305" s="6" t="s">
        <v>1229</v>
      </c>
      <c r="E305" s="6" t="s">
        <v>1221</v>
      </c>
      <c r="F305" s="6">
        <v>2</v>
      </c>
      <c r="G305" s="65">
        <v>4120.18</v>
      </c>
      <c r="H305" s="6" t="s">
        <v>1220</v>
      </c>
      <c r="I305" s="6" t="s">
        <v>1227</v>
      </c>
      <c r="J305" s="6" t="s">
        <v>265</v>
      </c>
      <c r="K305" s="68">
        <f>Row_Data!$F305*Row_Data!$G305</f>
        <v>8240.36</v>
      </c>
      <c r="L305" s="69" t="str">
        <f>TEXT(Row_Data!$B305,"MMM "&amp;"YYY")</f>
        <v>Jul 2025</v>
      </c>
    </row>
    <row r="306" spans="1:12" hidden="1" x14ac:dyDescent="0.3">
      <c r="A306" s="6">
        <v>4497</v>
      </c>
      <c r="B306" s="64">
        <v>45839</v>
      </c>
      <c r="C306" s="6" t="s">
        <v>676</v>
      </c>
      <c r="D306" s="6" t="s">
        <v>1215</v>
      </c>
      <c r="E306" s="6" t="s">
        <v>1226</v>
      </c>
      <c r="F306" s="6">
        <v>1</v>
      </c>
      <c r="G306" s="65">
        <v>1898.45</v>
      </c>
      <c r="H306" s="6" t="s">
        <v>1213</v>
      </c>
      <c r="I306" s="6" t="s">
        <v>1227</v>
      </c>
      <c r="J306" s="6" t="s">
        <v>116</v>
      </c>
      <c r="K306" s="68">
        <f>Row_Data!$F306*Row_Data!$G306</f>
        <v>1898.45</v>
      </c>
      <c r="L306" s="69" t="str">
        <f>TEXT(Row_Data!$B306,"MMM "&amp;"YYY")</f>
        <v>Jul 2025</v>
      </c>
    </row>
    <row r="307" spans="1:12" hidden="1" x14ac:dyDescent="0.3">
      <c r="A307" s="6">
        <v>6162</v>
      </c>
      <c r="B307" s="64">
        <v>45840</v>
      </c>
      <c r="C307" s="6" t="s">
        <v>678</v>
      </c>
      <c r="D307" s="6" t="s">
        <v>1219</v>
      </c>
      <c r="E307" s="6" t="s">
        <v>1221</v>
      </c>
      <c r="F307" s="6">
        <v>4</v>
      </c>
      <c r="G307" s="65">
        <v>4128.38</v>
      </c>
      <c r="H307" s="6" t="s">
        <v>1216</v>
      </c>
      <c r="I307" s="6" t="s">
        <v>1217</v>
      </c>
      <c r="J307" s="6" t="s">
        <v>398</v>
      </c>
      <c r="K307" s="68">
        <f>Row_Data!$F307*Row_Data!$G307</f>
        <v>16513.52</v>
      </c>
      <c r="L307" s="69" t="str">
        <f>TEXT(Row_Data!$B307,"MMM "&amp;"YYY")</f>
        <v>Jul 2025</v>
      </c>
    </row>
    <row r="308" spans="1:12" hidden="1" x14ac:dyDescent="0.3">
      <c r="A308" s="6">
        <v>1372</v>
      </c>
      <c r="B308" s="64">
        <v>45840</v>
      </c>
      <c r="C308" s="6" t="s">
        <v>680</v>
      </c>
      <c r="D308" s="6" t="s">
        <v>1228</v>
      </c>
      <c r="E308" s="6" t="s">
        <v>1212</v>
      </c>
      <c r="F308" s="6">
        <v>4</v>
      </c>
      <c r="G308" s="65">
        <v>1811.88</v>
      </c>
      <c r="H308" s="6" t="s">
        <v>1216</v>
      </c>
      <c r="I308" s="6" t="s">
        <v>1227</v>
      </c>
      <c r="J308" s="6" t="s">
        <v>587</v>
      </c>
      <c r="K308" s="68">
        <f>Row_Data!$F308*Row_Data!$G308</f>
        <v>7247.52</v>
      </c>
      <c r="L308" s="69" t="str">
        <f>TEXT(Row_Data!$B308,"MMM "&amp;"YYY")</f>
        <v>Jul 2025</v>
      </c>
    </row>
    <row r="309" spans="1:12" hidden="1" x14ac:dyDescent="0.3">
      <c r="A309" s="6">
        <v>9565</v>
      </c>
      <c r="B309" s="64">
        <v>45840</v>
      </c>
      <c r="C309" s="6" t="s">
        <v>682</v>
      </c>
      <c r="D309" s="6" t="s">
        <v>1215</v>
      </c>
      <c r="E309" s="6" t="s">
        <v>1226</v>
      </c>
      <c r="F309" s="6">
        <v>4</v>
      </c>
      <c r="G309" s="65">
        <v>3178.37</v>
      </c>
      <c r="H309" s="6" t="s">
        <v>1220</v>
      </c>
      <c r="I309" s="6" t="s">
        <v>1217</v>
      </c>
      <c r="J309" s="6" t="s">
        <v>512</v>
      </c>
      <c r="K309" s="68">
        <f>Row_Data!$F309*Row_Data!$G309</f>
        <v>12713.48</v>
      </c>
      <c r="L309" s="69" t="str">
        <f>TEXT(Row_Data!$B309,"MMM "&amp;"YYY")</f>
        <v>Jul 2025</v>
      </c>
    </row>
    <row r="310" spans="1:12" hidden="1" x14ac:dyDescent="0.3">
      <c r="A310" s="6">
        <v>7344</v>
      </c>
      <c r="B310" s="64">
        <v>45840</v>
      </c>
      <c r="C310" s="6" t="s">
        <v>684</v>
      </c>
      <c r="D310" s="6" t="s">
        <v>1225</v>
      </c>
      <c r="E310" s="6" t="s">
        <v>1221</v>
      </c>
      <c r="F310" s="6">
        <v>4</v>
      </c>
      <c r="G310" s="65">
        <v>598.65</v>
      </c>
      <c r="H310" s="6" t="s">
        <v>1213</v>
      </c>
      <c r="I310" s="6" t="s">
        <v>1217</v>
      </c>
      <c r="J310" s="6" t="s">
        <v>609</v>
      </c>
      <c r="K310" s="68">
        <f>Row_Data!$F310*Row_Data!$G310</f>
        <v>2394.6</v>
      </c>
      <c r="L310" s="69" t="str">
        <f>TEXT(Row_Data!$B310,"MMM "&amp;"YYY")</f>
        <v>Jul 2025</v>
      </c>
    </row>
    <row r="311" spans="1:12" hidden="1" x14ac:dyDescent="0.3">
      <c r="A311" s="6">
        <v>3880</v>
      </c>
      <c r="B311" s="64">
        <v>45842</v>
      </c>
      <c r="C311" s="6" t="s">
        <v>686</v>
      </c>
      <c r="D311" s="6" t="s">
        <v>1222</v>
      </c>
      <c r="E311" s="6" t="s">
        <v>1221</v>
      </c>
      <c r="F311" s="6">
        <v>1</v>
      </c>
      <c r="G311" s="65">
        <v>1169.98</v>
      </c>
      <c r="H311" s="6" t="s">
        <v>1216</v>
      </c>
      <c r="I311" s="6" t="s">
        <v>1217</v>
      </c>
      <c r="J311" s="6" t="s">
        <v>454</v>
      </c>
      <c r="K311" s="68">
        <f>Row_Data!$F311*Row_Data!$G311</f>
        <v>1169.98</v>
      </c>
      <c r="L311" s="69" t="str">
        <f>TEXT(Row_Data!$B311,"MMM "&amp;"YYY")</f>
        <v>Jul 2025</v>
      </c>
    </row>
    <row r="312" spans="1:12" hidden="1" x14ac:dyDescent="0.3">
      <c r="A312" s="6">
        <v>9156</v>
      </c>
      <c r="B312" s="64">
        <v>45842</v>
      </c>
      <c r="C312" s="6" t="s">
        <v>688</v>
      </c>
      <c r="D312" s="6" t="s">
        <v>1225</v>
      </c>
      <c r="E312" s="6" t="s">
        <v>1212</v>
      </c>
      <c r="F312" s="6">
        <v>2</v>
      </c>
      <c r="G312" s="65">
        <v>3587.73</v>
      </c>
      <c r="H312" s="6" t="s">
        <v>1216</v>
      </c>
      <c r="I312" s="6" t="s">
        <v>1214</v>
      </c>
      <c r="J312" s="6" t="s">
        <v>285</v>
      </c>
      <c r="K312" s="68">
        <f>Row_Data!$F312*Row_Data!$G312</f>
        <v>7175.46</v>
      </c>
      <c r="L312" s="69" t="str">
        <f>TEXT(Row_Data!$B312,"MMM "&amp;"YYY")</f>
        <v>Jul 2025</v>
      </c>
    </row>
    <row r="313" spans="1:12" hidden="1" x14ac:dyDescent="0.3">
      <c r="A313" s="6">
        <v>2098</v>
      </c>
      <c r="B313" s="64">
        <v>45843</v>
      </c>
      <c r="C313" s="6" t="s">
        <v>690</v>
      </c>
      <c r="D313" s="6" t="s">
        <v>1219</v>
      </c>
      <c r="E313" s="6" t="s">
        <v>1212</v>
      </c>
      <c r="F313" s="6">
        <v>4</v>
      </c>
      <c r="G313" s="65">
        <v>1502.43</v>
      </c>
      <c r="H313" s="6" t="s">
        <v>1213</v>
      </c>
      <c r="I313" s="6" t="s">
        <v>1214</v>
      </c>
      <c r="J313" s="6" t="s">
        <v>655</v>
      </c>
      <c r="K313" s="68">
        <f>Row_Data!$F313*Row_Data!$G313</f>
        <v>6009.72</v>
      </c>
      <c r="L313" s="69" t="str">
        <f>TEXT(Row_Data!$B313,"MMM "&amp;"YYY")</f>
        <v>Jul 2025</v>
      </c>
    </row>
    <row r="314" spans="1:12" hidden="1" x14ac:dyDescent="0.3">
      <c r="A314" s="6">
        <v>5480</v>
      </c>
      <c r="B314" s="64">
        <v>45844</v>
      </c>
      <c r="C314" s="6" t="s">
        <v>692</v>
      </c>
      <c r="D314" s="6" t="s">
        <v>1224</v>
      </c>
      <c r="E314" s="6" t="s">
        <v>1221</v>
      </c>
      <c r="F314" s="6">
        <v>1</v>
      </c>
      <c r="G314" s="65">
        <v>2699.51</v>
      </c>
      <c r="H314" s="6" t="s">
        <v>1216</v>
      </c>
      <c r="I314" s="6" t="s">
        <v>1227</v>
      </c>
      <c r="J314" s="6" t="s">
        <v>122</v>
      </c>
      <c r="K314" s="68">
        <f>Row_Data!$F314*Row_Data!$G314</f>
        <v>2699.51</v>
      </c>
      <c r="L314" s="69" t="str">
        <f>TEXT(Row_Data!$B314,"MMM "&amp;"YYY")</f>
        <v>Jul 2025</v>
      </c>
    </row>
    <row r="315" spans="1:12" hidden="1" x14ac:dyDescent="0.3">
      <c r="A315" s="6">
        <v>3756</v>
      </c>
      <c r="B315" s="64">
        <v>45844</v>
      </c>
      <c r="C315" s="6" t="s">
        <v>694</v>
      </c>
      <c r="D315" s="6" t="s">
        <v>1225</v>
      </c>
      <c r="E315" s="6" t="s">
        <v>1226</v>
      </c>
      <c r="F315" s="6">
        <v>5</v>
      </c>
      <c r="G315" s="65">
        <v>4874.3599999999997</v>
      </c>
      <c r="H315" s="6" t="s">
        <v>1220</v>
      </c>
      <c r="I315" s="6" t="s">
        <v>1217</v>
      </c>
      <c r="J315" s="6" t="s">
        <v>482</v>
      </c>
      <c r="K315" s="68">
        <f>Row_Data!$F315*Row_Data!$G315</f>
        <v>24371.8</v>
      </c>
      <c r="L315" s="69" t="str">
        <f>TEXT(Row_Data!$B315,"MMM "&amp;"YYY")</f>
        <v>Jul 2025</v>
      </c>
    </row>
    <row r="316" spans="1:12" hidden="1" x14ac:dyDescent="0.3">
      <c r="A316" s="6">
        <v>6963</v>
      </c>
      <c r="B316" s="64">
        <v>45844</v>
      </c>
      <c r="C316" s="6" t="s">
        <v>696</v>
      </c>
      <c r="D316" s="6" t="s">
        <v>1223</v>
      </c>
      <c r="E316" s="6" t="s">
        <v>1221</v>
      </c>
      <c r="F316" s="6">
        <v>4</v>
      </c>
      <c r="G316" s="65">
        <v>374.6</v>
      </c>
      <c r="H316" s="6" t="s">
        <v>1213</v>
      </c>
      <c r="I316" s="6" t="s">
        <v>1227</v>
      </c>
      <c r="J316" s="6" t="s">
        <v>148</v>
      </c>
      <c r="K316" s="68">
        <f>Row_Data!$F316*Row_Data!$G316</f>
        <v>1498.4</v>
      </c>
      <c r="L316" s="69" t="str">
        <f>TEXT(Row_Data!$B316,"MMM "&amp;"YYY")</f>
        <v>Jul 2025</v>
      </c>
    </row>
    <row r="317" spans="1:12" hidden="1" x14ac:dyDescent="0.3">
      <c r="A317" s="6">
        <v>4763</v>
      </c>
      <c r="B317" s="64">
        <v>45845</v>
      </c>
      <c r="C317" s="6" t="s">
        <v>698</v>
      </c>
      <c r="D317" s="6" t="s">
        <v>1211</v>
      </c>
      <c r="E317" s="6" t="s">
        <v>1226</v>
      </c>
      <c r="F317" s="6">
        <v>5</v>
      </c>
      <c r="G317" s="65">
        <v>2377.56</v>
      </c>
      <c r="H317" s="6" t="s">
        <v>1216</v>
      </c>
      <c r="I317" s="6" t="s">
        <v>1214</v>
      </c>
      <c r="J317" s="6" t="s">
        <v>514</v>
      </c>
      <c r="K317" s="68">
        <f>Row_Data!$F317*Row_Data!$G317</f>
        <v>11887.8</v>
      </c>
      <c r="L317" s="69" t="str">
        <f>TEXT(Row_Data!$B317,"MMM "&amp;"YYY")</f>
        <v>Jul 2025</v>
      </c>
    </row>
    <row r="318" spans="1:12" hidden="1" x14ac:dyDescent="0.3">
      <c r="A318" s="6">
        <v>7903</v>
      </c>
      <c r="B318" s="64">
        <v>45846</v>
      </c>
      <c r="C318" s="6" t="s">
        <v>700</v>
      </c>
      <c r="D318" s="6" t="s">
        <v>1218</v>
      </c>
      <c r="E318" s="6" t="s">
        <v>1212</v>
      </c>
      <c r="F318" s="6">
        <v>3</v>
      </c>
      <c r="G318" s="65">
        <v>3516.3</v>
      </c>
      <c r="H318" s="6" t="s">
        <v>1216</v>
      </c>
      <c r="I318" s="6" t="s">
        <v>1217</v>
      </c>
      <c r="J318" s="6" t="s">
        <v>142</v>
      </c>
      <c r="K318" s="68">
        <f>Row_Data!$F318*Row_Data!$G318</f>
        <v>10548.900000000001</v>
      </c>
      <c r="L318" s="69" t="str">
        <f>TEXT(Row_Data!$B318,"MMM "&amp;"YYY")</f>
        <v>Jul 2025</v>
      </c>
    </row>
    <row r="319" spans="1:12" hidden="1" x14ac:dyDescent="0.3">
      <c r="A319" s="6">
        <v>5404</v>
      </c>
      <c r="B319" s="64">
        <v>45846</v>
      </c>
      <c r="C319" s="6" t="s">
        <v>702</v>
      </c>
      <c r="D319" s="6" t="s">
        <v>1218</v>
      </c>
      <c r="E319" s="6" t="s">
        <v>1221</v>
      </c>
      <c r="F319" s="6">
        <v>2</v>
      </c>
      <c r="G319" s="65">
        <v>3897.14</v>
      </c>
      <c r="H319" s="6" t="s">
        <v>1216</v>
      </c>
      <c r="I319" s="6" t="s">
        <v>1227</v>
      </c>
      <c r="J319" s="6" t="s">
        <v>641</v>
      </c>
      <c r="K319" s="68">
        <f>Row_Data!$F319*Row_Data!$G319</f>
        <v>7794.28</v>
      </c>
      <c r="L319" s="69" t="str">
        <f>TEXT(Row_Data!$B319,"MMM "&amp;"YYY")</f>
        <v>Jul 2025</v>
      </c>
    </row>
    <row r="320" spans="1:12" hidden="1" x14ac:dyDescent="0.3">
      <c r="A320" s="6">
        <v>8796</v>
      </c>
      <c r="B320" s="64">
        <v>45846</v>
      </c>
      <c r="C320" s="6" t="s">
        <v>704</v>
      </c>
      <c r="D320" s="6" t="s">
        <v>1211</v>
      </c>
      <c r="E320" s="6" t="s">
        <v>1212</v>
      </c>
      <c r="F320" s="6">
        <v>5</v>
      </c>
      <c r="G320" s="65">
        <v>3958.63</v>
      </c>
      <c r="H320" s="6" t="s">
        <v>1220</v>
      </c>
      <c r="I320" s="6" t="s">
        <v>1214</v>
      </c>
      <c r="J320" s="6" t="s">
        <v>390</v>
      </c>
      <c r="K320" s="68">
        <f>Row_Data!$F320*Row_Data!$G320</f>
        <v>19793.150000000001</v>
      </c>
      <c r="L320" s="69" t="str">
        <f>TEXT(Row_Data!$B320,"MMM "&amp;"YYY")</f>
        <v>Jul 2025</v>
      </c>
    </row>
    <row r="321" spans="1:12" hidden="1" x14ac:dyDescent="0.3">
      <c r="A321" s="3">
        <v>8892</v>
      </c>
      <c r="B321" s="70">
        <v>45846</v>
      </c>
      <c r="C321" s="3" t="s">
        <v>706</v>
      </c>
      <c r="D321" s="3" t="s">
        <v>1222</v>
      </c>
      <c r="E321" s="3" t="s">
        <v>1226</v>
      </c>
      <c r="F321" s="3">
        <v>2</v>
      </c>
      <c r="G321" s="71">
        <v>3853.02</v>
      </c>
      <c r="H321" s="3" t="s">
        <v>1216</v>
      </c>
      <c r="I321" s="3" t="s">
        <v>1214</v>
      </c>
      <c r="J321" s="3" t="s">
        <v>390</v>
      </c>
      <c r="K321" s="72">
        <f>Row_Data!$F321*Row_Data!$G321</f>
        <v>7706.04</v>
      </c>
      <c r="L321" s="8" t="str">
        <f>TEXT(Row_Data!$B321,"MMM "&amp;"YYY")</f>
        <v>Jul 2025</v>
      </c>
    </row>
  </sheetData>
  <autoFilter ref="A1:L321" xr:uid="{71B9B2C0-444C-47F4-A010-8171142B5E7B}">
    <filterColumn colId="11">
      <filters>
        <filter val="Jan 202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326F-8AEC-44B8-8068-C4438379E498}">
  <dimension ref="C1:J8"/>
  <sheetViews>
    <sheetView workbookViewId="0">
      <selection activeCell="J10" sqref="J10"/>
    </sheetView>
  </sheetViews>
  <sheetFormatPr defaultRowHeight="14.4" x14ac:dyDescent="0.3"/>
  <cols>
    <col min="3" max="3" width="8.44140625" bestFit="1" customWidth="1"/>
    <col min="4" max="4" width="13.109375" bestFit="1" customWidth="1"/>
    <col min="5" max="5" width="12" bestFit="1" customWidth="1"/>
    <col min="6" max="6" width="13.5546875" bestFit="1" customWidth="1"/>
    <col min="8" max="8" width="8.44140625" bestFit="1" customWidth="1"/>
    <col min="9" max="9" width="11" bestFit="1" customWidth="1"/>
    <col min="10" max="10" width="11.88671875" bestFit="1" customWidth="1"/>
  </cols>
  <sheetData>
    <row r="1" spans="3:10" x14ac:dyDescent="0.3">
      <c r="C1" s="54" t="s">
        <v>72</v>
      </c>
      <c r="D1" s="54" t="s">
        <v>708</v>
      </c>
      <c r="E1" s="54" t="s">
        <v>709</v>
      </c>
      <c r="H1" s="54" t="s">
        <v>72</v>
      </c>
      <c r="I1" s="54" t="s">
        <v>1230</v>
      </c>
      <c r="J1" s="54" t="s">
        <v>1231</v>
      </c>
    </row>
    <row r="2" spans="3:10" x14ac:dyDescent="0.3">
      <c r="C2" s="94">
        <v>45658</v>
      </c>
      <c r="D2">
        <f>SUMIF(Row_Data!L:L,SUM!C2,Row_Data!K:K)</f>
        <v>384199.10000000003</v>
      </c>
      <c r="E2">
        <f>SUMIFS(Row_Data!K:K,Row_Data!L:L,SUM!C2)</f>
        <v>384199.10000000003</v>
      </c>
      <c r="H2" s="1" t="s">
        <v>710</v>
      </c>
      <c r="I2">
        <f>AVERAGEIF(Row_Data!L:L,SUM!H2,Row_Data!K:K)</f>
        <v>7114.7981481481484</v>
      </c>
      <c r="J2">
        <f>AVERAGEIFS(Row_Data!K:K,Row_Data!L:L,SUM!H2)</f>
        <v>7114.7981481481484</v>
      </c>
    </row>
    <row r="3" spans="3:10" x14ac:dyDescent="0.3">
      <c r="C3" s="1" t="s">
        <v>711</v>
      </c>
      <c r="D3">
        <f>SUMIF(Row_Data!L:L,SUM!C3,Row_Data!K:K)</f>
        <v>446434.08999999997</v>
      </c>
      <c r="E3">
        <f>SUMIFS(Row_Data!K:K,Row_Data!L:L,SUM!C3)</f>
        <v>446434.08999999997</v>
      </c>
      <c r="H3" s="1" t="s">
        <v>711</v>
      </c>
      <c r="I3">
        <f>AVERAGEIF(Row_Data!L:L,SUM!H3,Row_Data!K:K)</f>
        <v>8116.9834545454542</v>
      </c>
      <c r="J3">
        <f>AVERAGEIFS(Row_Data!K:K,Row_Data!L:L,SUM!H3)</f>
        <v>8116.9834545454542</v>
      </c>
    </row>
    <row r="4" spans="3:10" x14ac:dyDescent="0.3">
      <c r="C4" s="1" t="s">
        <v>712</v>
      </c>
      <c r="D4">
        <f>SUMIF(Row_Data!L:L,SUM!C4,Row_Data!K:K)</f>
        <v>395126.42</v>
      </c>
      <c r="E4">
        <f>SUMIFS(Row_Data!K:K,Row_Data!L:L,SUM!C4)</f>
        <v>395126.42</v>
      </c>
      <c r="H4" s="1" t="s">
        <v>712</v>
      </c>
      <c r="I4">
        <f>AVERAGEIF(Row_Data!L:L,SUM!H4,Row_Data!K:K)</f>
        <v>6932.0424561403506</v>
      </c>
      <c r="J4">
        <f>AVERAGEIFS(Row_Data!K:K,Row_Data!L:L,SUM!H4)</f>
        <v>6932.0424561403506</v>
      </c>
    </row>
    <row r="5" spans="3:10" x14ac:dyDescent="0.3">
      <c r="C5" s="1" t="s">
        <v>713</v>
      </c>
      <c r="D5">
        <f>SUMIF(Row_Data!L:L,SUM!C5,Row_Data!K:K)</f>
        <v>224733.48000000004</v>
      </c>
      <c r="E5">
        <f>SUMIFS(Row_Data!K:K,Row_Data!L:L,SUM!C5)</f>
        <v>224733.48000000004</v>
      </c>
      <c r="H5" s="1" t="s">
        <v>713</v>
      </c>
      <c r="I5">
        <f>AVERAGEIF(Row_Data!L:L,SUM!H5,Row_Data!K:K)</f>
        <v>6810.1054545454554</v>
      </c>
      <c r="J5">
        <f>AVERAGEIFS(Row_Data!K:K,Row_Data!L:L,SUM!H5)</f>
        <v>6810.1054545454554</v>
      </c>
    </row>
    <row r="6" spans="3:10" x14ac:dyDescent="0.3">
      <c r="C6" s="1" t="s">
        <v>714</v>
      </c>
      <c r="D6">
        <f>SUMIF(Row_Data!L:L,SUM!C6,Row_Data!K:K)</f>
        <v>455498.49</v>
      </c>
      <c r="E6">
        <f>SUMIFS(Row_Data!K:K,Row_Data!L:L,SUM!C6)</f>
        <v>455498.49</v>
      </c>
      <c r="H6" s="1" t="s">
        <v>714</v>
      </c>
      <c r="I6">
        <f>AVERAGEIF(Row_Data!L:L,SUM!H6,Row_Data!K:K)</f>
        <v>7853.4222413793104</v>
      </c>
      <c r="J6">
        <f>AVERAGEIFS(Row_Data!K:K,Row_Data!L:L,SUM!H6)</f>
        <v>7853.4222413793104</v>
      </c>
    </row>
    <row r="7" spans="3:10" x14ac:dyDescent="0.3">
      <c r="C7" s="1" t="s">
        <v>715</v>
      </c>
      <c r="D7">
        <f>SUMIF(Row_Data!L:L,SUM!C7,Row_Data!K:K)</f>
        <v>371657.65000000008</v>
      </c>
      <c r="E7">
        <f>SUMIFS(Row_Data!K:K,Row_Data!L:L,SUM!C7)</f>
        <v>371657.65000000008</v>
      </c>
      <c r="H7" s="1" t="s">
        <v>715</v>
      </c>
      <c r="I7">
        <f>AVERAGEIF(Row_Data!L:L,SUM!H7,Row_Data!K:K)</f>
        <v>8079.5141304347844</v>
      </c>
      <c r="J7">
        <f>AVERAGEIFS(Row_Data!K:K,Row_Data!L:L,SUM!H7)</f>
        <v>8079.5141304347844</v>
      </c>
    </row>
    <row r="8" spans="3:10" x14ac:dyDescent="0.3">
      <c r="C8" s="1" t="s">
        <v>716</v>
      </c>
      <c r="D8">
        <f>SUMIF(Row_Data!L:L,SUM!C8,Row_Data!K:K)</f>
        <v>149662.97</v>
      </c>
      <c r="E8">
        <f>SUMIFS(Row_Data!K:K,Row_Data!L:L,SUM!C8)</f>
        <v>149662.97</v>
      </c>
      <c r="H8" s="1" t="s">
        <v>716</v>
      </c>
      <c r="I8">
        <f>AVERAGEIF(Row_Data!L:L,SUM!H8,Row_Data!K:K)</f>
        <v>8803.7041176470593</v>
      </c>
      <c r="J8">
        <f>AVERAGEIFS(Row_Data!K:K,Row_Data!L:L,SUM!H8)</f>
        <v>8803.7041176470593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43B2-E9BF-4B2C-9CFB-EA89ED20F605}">
  <dimension ref="A1:N26"/>
  <sheetViews>
    <sheetView workbookViewId="0"/>
  </sheetViews>
  <sheetFormatPr defaultRowHeight="14.4" x14ac:dyDescent="0.3"/>
  <cols>
    <col min="1" max="1" width="17.44140625" style="15" bestFit="1" customWidth="1"/>
    <col min="2" max="2" width="6" style="15" bestFit="1" customWidth="1"/>
    <col min="3" max="3" width="10.21875" style="15" bestFit="1" customWidth="1"/>
    <col min="4" max="4" width="7.77734375" style="15" bestFit="1" customWidth="1"/>
    <col min="5" max="5" width="15" style="15" bestFit="1" customWidth="1"/>
  </cols>
  <sheetData>
    <row r="1" spans="1:14" ht="15.6" x14ac:dyDescent="0.3">
      <c r="A1" s="95" t="s">
        <v>1233</v>
      </c>
    </row>
    <row r="2" spans="1:14" x14ac:dyDescent="0.3">
      <c r="A2" s="17" t="s">
        <v>717</v>
      </c>
      <c r="B2" s="17" t="s">
        <v>718</v>
      </c>
      <c r="C2" s="17" t="s">
        <v>719</v>
      </c>
      <c r="D2" s="17" t="s">
        <v>720</v>
      </c>
      <c r="E2" s="18" t="s">
        <v>721</v>
      </c>
      <c r="H2" s="90" t="s">
        <v>722</v>
      </c>
      <c r="I2" s="90"/>
      <c r="J2" s="90"/>
      <c r="K2" s="90"/>
      <c r="L2" s="90"/>
      <c r="M2" s="90"/>
    </row>
    <row r="3" spans="1:14" x14ac:dyDescent="0.3">
      <c r="A3" s="19" cm="1">
        <f t="array" ref="A3:A21">_xlfn.SEQUENCE(COUNT(B3:B21),,1,1)</f>
        <v>1</v>
      </c>
      <c r="B3" s="20">
        <v>2469</v>
      </c>
      <c r="C3" s="20" t="s">
        <v>723</v>
      </c>
      <c r="D3" s="21" t="s">
        <v>724</v>
      </c>
      <c r="E3" s="22">
        <f>COUNTBLANK(I13:K62)</f>
        <v>150</v>
      </c>
      <c r="H3" s="90"/>
      <c r="I3" s="90"/>
      <c r="J3" s="90"/>
      <c r="K3" s="90"/>
      <c r="L3" s="90"/>
      <c r="M3" s="90"/>
    </row>
    <row r="4" spans="1:14" x14ac:dyDescent="0.3">
      <c r="A4" s="20">
        <v>2</v>
      </c>
      <c r="B4" s="20">
        <v>2036</v>
      </c>
      <c r="C4" s="20" t="s">
        <v>725</v>
      </c>
      <c r="D4" s="21" t="s">
        <v>726</v>
      </c>
      <c r="E4" s="23" t="e">
        <f>COUNTIF([1]!Table1[Account],"Movefix")</f>
        <v>#REF!</v>
      </c>
      <c r="H4" s="90"/>
      <c r="I4" s="90"/>
      <c r="J4" s="90"/>
      <c r="K4" s="90"/>
      <c r="L4" s="90"/>
      <c r="M4" s="90"/>
    </row>
    <row r="5" spans="1:14" x14ac:dyDescent="0.3">
      <c r="A5" s="20">
        <v>3</v>
      </c>
      <c r="B5" s="20">
        <v>3456</v>
      </c>
      <c r="C5" s="20" t="s">
        <v>727</v>
      </c>
      <c r="D5" s="21" t="s">
        <v>726</v>
      </c>
      <c r="E5" s="23" t="e">
        <f>COUNTIF([1]!Table1[Gender],"Female")</f>
        <v>#REF!</v>
      </c>
    </row>
    <row r="6" spans="1:14" x14ac:dyDescent="0.3">
      <c r="A6" s="20">
        <v>4</v>
      </c>
      <c r="B6" s="20">
        <v>1011</v>
      </c>
      <c r="C6" s="20" t="s">
        <v>728</v>
      </c>
      <c r="D6" s="21" t="s">
        <v>724</v>
      </c>
      <c r="E6" s="23">
        <f>COUNTIF(K13:K62,"No")</f>
        <v>0</v>
      </c>
      <c r="H6" s="19"/>
      <c r="I6" s="83" t="s">
        <v>729</v>
      </c>
      <c r="J6" s="83"/>
      <c r="K6" s="83"/>
      <c r="L6" s="83"/>
      <c r="M6" s="83"/>
      <c r="N6" s="83"/>
    </row>
    <row r="7" spans="1:14" x14ac:dyDescent="0.3">
      <c r="A7" s="20">
        <v>5</v>
      </c>
      <c r="B7" s="20">
        <v>331</v>
      </c>
      <c r="C7" s="20" t="s">
        <v>730</v>
      </c>
      <c r="D7" s="21" t="s">
        <v>726</v>
      </c>
      <c r="E7" s="23">
        <f>COUNTIFS(G12:G62,"&gt;=70%",G12:G62,"&lt;=90%")</f>
        <v>0</v>
      </c>
      <c r="H7" s="24" t="s">
        <v>731</v>
      </c>
      <c r="I7" s="91">
        <f>COUNT(B3:B21)</f>
        <v>19</v>
      </c>
      <c r="J7" s="91"/>
      <c r="K7" s="91"/>
      <c r="L7" s="91"/>
      <c r="M7" s="91"/>
      <c r="N7" s="91"/>
    </row>
    <row r="8" spans="1:14" x14ac:dyDescent="0.3">
      <c r="A8" s="20">
        <v>6</v>
      </c>
      <c r="B8" s="20">
        <v>828</v>
      </c>
      <c r="C8" s="20" t="s">
        <v>732</v>
      </c>
      <c r="D8" s="24" t="s">
        <v>724</v>
      </c>
      <c r="E8" s="25" t="s">
        <v>733</v>
      </c>
      <c r="H8" s="24" t="s">
        <v>719</v>
      </c>
      <c r="I8" s="91">
        <f>COUNTA(C3:C21)</f>
        <v>19</v>
      </c>
      <c r="J8" s="91"/>
      <c r="K8" s="91"/>
      <c r="L8" s="91"/>
      <c r="M8" s="91"/>
      <c r="N8" s="91"/>
    </row>
    <row r="9" spans="1:14" x14ac:dyDescent="0.3">
      <c r="A9" s="20">
        <v>7</v>
      </c>
      <c r="B9" s="20">
        <v>10111</v>
      </c>
      <c r="C9" s="20" t="s">
        <v>734</v>
      </c>
      <c r="D9" s="24" t="s">
        <v>726</v>
      </c>
      <c r="E9" s="24" t="s">
        <v>735</v>
      </c>
    </row>
    <row r="10" spans="1:14" x14ac:dyDescent="0.3">
      <c r="A10" s="20">
        <v>8</v>
      </c>
      <c r="B10" s="20">
        <v>6387</v>
      </c>
      <c r="C10" s="20" t="s">
        <v>736</v>
      </c>
      <c r="D10" s="24" t="s">
        <v>726</v>
      </c>
      <c r="E10" s="24" t="s">
        <v>733</v>
      </c>
    </row>
    <row r="11" spans="1:14" x14ac:dyDescent="0.3">
      <c r="A11" s="20">
        <v>9</v>
      </c>
      <c r="B11" s="20">
        <v>9292</v>
      </c>
      <c r="C11" s="20" t="s">
        <v>737</v>
      </c>
      <c r="D11" s="24" t="s">
        <v>724</v>
      </c>
      <c r="E11" s="24" t="s">
        <v>733</v>
      </c>
    </row>
    <row r="12" spans="1:14" x14ac:dyDescent="0.3">
      <c r="A12" s="20">
        <v>10</v>
      </c>
      <c r="B12" s="20">
        <v>3723</v>
      </c>
      <c r="C12" s="20" t="s">
        <v>738</v>
      </c>
      <c r="D12" s="24" t="s">
        <v>726</v>
      </c>
      <c r="E12" s="24" t="s">
        <v>739</v>
      </c>
    </row>
    <row r="13" spans="1:14" x14ac:dyDescent="0.3">
      <c r="A13" s="20">
        <v>11</v>
      </c>
      <c r="B13" s="20">
        <v>727</v>
      </c>
      <c r="C13" s="20" t="s">
        <v>740</v>
      </c>
      <c r="D13" s="24" t="s">
        <v>724</v>
      </c>
      <c r="E13" s="24" t="s">
        <v>735</v>
      </c>
    </row>
    <row r="14" spans="1:14" x14ac:dyDescent="0.3">
      <c r="A14" s="20">
        <v>12</v>
      </c>
      <c r="B14" s="20">
        <v>939</v>
      </c>
      <c r="C14" s="20" t="s">
        <v>741</v>
      </c>
      <c r="D14" s="24" t="s">
        <v>724</v>
      </c>
      <c r="E14" s="24" t="s">
        <v>742</v>
      </c>
    </row>
    <row r="15" spans="1:14" x14ac:dyDescent="0.3">
      <c r="A15" s="20">
        <v>13</v>
      </c>
      <c r="B15" s="20">
        <v>847</v>
      </c>
      <c r="C15" s="20" t="s">
        <v>743</v>
      </c>
      <c r="D15" s="24" t="s">
        <v>726</v>
      </c>
      <c r="E15" s="24" t="s">
        <v>735</v>
      </c>
    </row>
    <row r="16" spans="1:14" x14ac:dyDescent="0.3">
      <c r="A16" s="20">
        <v>14</v>
      </c>
      <c r="B16" s="20">
        <v>8483</v>
      </c>
      <c r="C16" s="20" t="s">
        <v>744</v>
      </c>
      <c r="D16" s="24" t="s">
        <v>726</v>
      </c>
      <c r="E16" s="24" t="s">
        <v>739</v>
      </c>
    </row>
    <row r="17" spans="1:5" x14ac:dyDescent="0.3">
      <c r="A17" s="20">
        <v>15</v>
      </c>
      <c r="B17" s="20">
        <v>988</v>
      </c>
      <c r="C17" s="20" t="s">
        <v>745</v>
      </c>
      <c r="D17" s="24" t="s">
        <v>726</v>
      </c>
      <c r="E17" s="24" t="s">
        <v>733</v>
      </c>
    </row>
    <row r="18" spans="1:5" x14ac:dyDescent="0.3">
      <c r="A18" s="20">
        <v>16</v>
      </c>
      <c r="B18" s="20">
        <v>67</v>
      </c>
      <c r="C18" s="20" t="s">
        <v>746</v>
      </c>
      <c r="D18" s="24" t="s">
        <v>724</v>
      </c>
      <c r="E18" s="24" t="s">
        <v>733</v>
      </c>
    </row>
    <row r="19" spans="1:5" x14ac:dyDescent="0.3">
      <c r="A19" s="20">
        <v>17</v>
      </c>
      <c r="B19" s="26">
        <v>5236.6666666666697</v>
      </c>
      <c r="C19" s="20" t="s">
        <v>747</v>
      </c>
      <c r="D19" s="24" t="s">
        <v>724</v>
      </c>
      <c r="E19" s="24" t="s">
        <v>748</v>
      </c>
    </row>
    <row r="20" spans="1:5" x14ac:dyDescent="0.3">
      <c r="A20" s="20">
        <v>18</v>
      </c>
      <c r="B20" s="26">
        <v>9444.6666666666697</v>
      </c>
      <c r="C20" s="20" t="s">
        <v>749</v>
      </c>
      <c r="D20" s="24" t="s">
        <v>726</v>
      </c>
      <c r="E20" s="24" t="s">
        <v>748</v>
      </c>
    </row>
    <row r="21" spans="1:5" x14ac:dyDescent="0.3">
      <c r="A21" s="20">
        <v>19</v>
      </c>
      <c r="B21" s="26">
        <v>13652.666666666701</v>
      </c>
      <c r="C21" s="20" t="s">
        <v>750</v>
      </c>
      <c r="D21" s="24" t="s">
        <v>724</v>
      </c>
      <c r="E21" s="24" t="s">
        <v>748</v>
      </c>
    </row>
    <row r="22" spans="1:5" x14ac:dyDescent="0.3">
      <c r="B22" s="26"/>
      <c r="C22" s="20"/>
      <c r="D22" s="24"/>
      <c r="E22" s="24"/>
    </row>
    <row r="23" spans="1:5" x14ac:dyDescent="0.3">
      <c r="B23" s="26"/>
    </row>
    <row r="24" spans="1:5" x14ac:dyDescent="0.3">
      <c r="B24" s="26"/>
    </row>
    <row r="25" spans="1:5" x14ac:dyDescent="0.3">
      <c r="B25" s="26"/>
    </row>
    <row r="26" spans="1:5" x14ac:dyDescent="0.3">
      <c r="B26" s="26"/>
    </row>
  </sheetData>
  <mergeCells count="4">
    <mergeCell ref="H2:M4"/>
    <mergeCell ref="I6:N6"/>
    <mergeCell ref="I7:N7"/>
    <mergeCell ref="I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64ED-9036-429E-9A71-CC1176968ADA}">
  <dimension ref="A1:H20"/>
  <sheetViews>
    <sheetView workbookViewId="0">
      <selection activeCell="H6" sqref="H6"/>
    </sheetView>
  </sheetViews>
  <sheetFormatPr defaultRowHeight="14.4" x14ac:dyDescent="0.3"/>
  <cols>
    <col min="1" max="1" width="5.5546875" bestFit="1" customWidth="1"/>
    <col min="2" max="2" width="5.77734375" bestFit="1" customWidth="1"/>
    <col min="3" max="3" width="9.21875" bestFit="1" customWidth="1"/>
    <col min="4" max="4" width="7" bestFit="1" customWidth="1"/>
    <col min="5" max="5" width="13.77734375" bestFit="1" customWidth="1"/>
    <col min="8" max="8" width="41.77734375" bestFit="1" customWidth="1"/>
  </cols>
  <sheetData>
    <row r="1" spans="1:8" x14ac:dyDescent="0.3">
      <c r="A1" s="9" t="s">
        <v>717</v>
      </c>
      <c r="B1" s="9" t="s">
        <v>718</v>
      </c>
      <c r="C1" s="9" t="s">
        <v>719</v>
      </c>
      <c r="D1" s="9" t="s">
        <v>720</v>
      </c>
      <c r="E1" s="9" t="s">
        <v>721</v>
      </c>
      <c r="H1" s="90" t="s">
        <v>751</v>
      </c>
    </row>
    <row r="2" spans="1:8" x14ac:dyDescent="0.3">
      <c r="A2" s="20"/>
      <c r="B2" s="20">
        <v>2469</v>
      </c>
      <c r="C2" s="28" t="s">
        <v>723</v>
      </c>
      <c r="D2" s="20" t="s">
        <v>724</v>
      </c>
      <c r="E2" s="20" t="s">
        <v>735</v>
      </c>
      <c r="H2" s="90"/>
    </row>
    <row r="3" spans="1:8" x14ac:dyDescent="0.3">
      <c r="A3" s="20"/>
      <c r="B3" s="20">
        <v>2036</v>
      </c>
      <c r="C3" s="28" t="s">
        <v>725</v>
      </c>
      <c r="D3" s="20" t="s">
        <v>726</v>
      </c>
      <c r="E3" s="20" t="s">
        <v>742</v>
      </c>
      <c r="H3" s="92"/>
    </row>
    <row r="4" spans="1:8" x14ac:dyDescent="0.3">
      <c r="A4" s="20"/>
      <c r="B4" s="20">
        <v>3456</v>
      </c>
      <c r="C4" s="28" t="s">
        <v>727</v>
      </c>
      <c r="D4" s="20" t="s">
        <v>726</v>
      </c>
      <c r="E4" s="29"/>
      <c r="H4" s="24" t="s">
        <v>752</v>
      </c>
    </row>
    <row r="5" spans="1:8" x14ac:dyDescent="0.3">
      <c r="A5" s="20"/>
      <c r="B5" s="20">
        <v>1011</v>
      </c>
      <c r="C5" s="28" t="s">
        <v>728</v>
      </c>
      <c r="D5" s="20" t="s">
        <v>724</v>
      </c>
      <c r="E5" s="20" t="s">
        <v>735</v>
      </c>
      <c r="H5" s="23">
        <f>COUNTBLANK(B1:E20)</f>
        <v>4</v>
      </c>
    </row>
    <row r="6" spans="1:8" x14ac:dyDescent="0.3">
      <c r="A6" s="20"/>
      <c r="B6" s="20">
        <v>331</v>
      </c>
      <c r="C6" s="28" t="s">
        <v>730</v>
      </c>
      <c r="D6" s="20"/>
      <c r="E6" s="20" t="s">
        <v>735</v>
      </c>
    </row>
    <row r="7" spans="1:8" x14ac:dyDescent="0.3">
      <c r="A7" s="20"/>
      <c r="B7" s="20">
        <v>828</v>
      </c>
      <c r="C7" s="28" t="s">
        <v>732</v>
      </c>
      <c r="D7" s="20" t="s">
        <v>724</v>
      </c>
      <c r="E7" s="20" t="s">
        <v>733</v>
      </c>
    </row>
    <row r="8" spans="1:8" x14ac:dyDescent="0.3">
      <c r="A8" s="20"/>
      <c r="B8" s="20">
        <v>10111</v>
      </c>
      <c r="C8" s="28" t="s">
        <v>734</v>
      </c>
      <c r="D8" s="20" t="s">
        <v>726</v>
      </c>
      <c r="E8" s="20" t="s">
        <v>735</v>
      </c>
    </row>
    <row r="9" spans="1:8" x14ac:dyDescent="0.3">
      <c r="A9" s="20"/>
      <c r="B9" s="20">
        <v>6387</v>
      </c>
      <c r="C9" s="28" t="s">
        <v>736</v>
      </c>
      <c r="D9" s="20" t="s">
        <v>726</v>
      </c>
      <c r="E9" s="20" t="s">
        <v>733</v>
      </c>
    </row>
    <row r="10" spans="1:8" x14ac:dyDescent="0.3">
      <c r="A10" s="20"/>
      <c r="B10" s="20">
        <v>9292</v>
      </c>
      <c r="C10" s="28" t="s">
        <v>737</v>
      </c>
      <c r="D10" s="20" t="s">
        <v>724</v>
      </c>
      <c r="E10" s="20" t="s">
        <v>733</v>
      </c>
    </row>
    <row r="11" spans="1:8" x14ac:dyDescent="0.3">
      <c r="A11" s="20"/>
      <c r="B11" s="20">
        <v>3723</v>
      </c>
      <c r="C11" s="28" t="s">
        <v>738</v>
      </c>
      <c r="D11" s="20" t="s">
        <v>726</v>
      </c>
      <c r="E11" s="20" t="s">
        <v>739</v>
      </c>
    </row>
    <row r="12" spans="1:8" x14ac:dyDescent="0.3">
      <c r="A12" s="20"/>
      <c r="B12" s="20">
        <v>727</v>
      </c>
      <c r="C12" s="28" t="s">
        <v>740</v>
      </c>
      <c r="D12" s="20" t="s">
        <v>724</v>
      </c>
      <c r="E12" s="20" t="s">
        <v>735</v>
      </c>
    </row>
    <row r="13" spans="1:8" x14ac:dyDescent="0.3">
      <c r="A13" s="20"/>
      <c r="B13" s="20">
        <v>939</v>
      </c>
      <c r="C13" s="28" t="s">
        <v>741</v>
      </c>
      <c r="D13" s="20" t="s">
        <v>724</v>
      </c>
      <c r="E13" s="20" t="s">
        <v>742</v>
      </c>
    </row>
    <row r="14" spans="1:8" x14ac:dyDescent="0.3">
      <c r="A14" s="20"/>
      <c r="B14" s="20"/>
      <c r="C14" s="28" t="s">
        <v>743</v>
      </c>
      <c r="D14" s="20" t="s">
        <v>726</v>
      </c>
      <c r="E14" s="20" t="s">
        <v>735</v>
      </c>
    </row>
    <row r="15" spans="1:8" x14ac:dyDescent="0.3">
      <c r="A15" s="20"/>
      <c r="B15" s="20">
        <v>8483</v>
      </c>
      <c r="C15" s="28" t="s">
        <v>744</v>
      </c>
      <c r="D15" s="20" t="s">
        <v>726</v>
      </c>
      <c r="E15" s="20" t="s">
        <v>739</v>
      </c>
    </row>
    <row r="16" spans="1:8" x14ac:dyDescent="0.3">
      <c r="A16" s="20"/>
      <c r="B16" s="20">
        <v>988</v>
      </c>
      <c r="C16" s="28" t="s">
        <v>745</v>
      </c>
      <c r="D16" s="20" t="s">
        <v>726</v>
      </c>
      <c r="E16" s="20" t="s">
        <v>733</v>
      </c>
    </row>
    <row r="17" spans="1:5" x14ac:dyDescent="0.3">
      <c r="A17" s="20"/>
      <c r="B17" s="20">
        <v>67</v>
      </c>
      <c r="C17" s="28" t="s">
        <v>746</v>
      </c>
      <c r="D17" s="20" t="s">
        <v>724</v>
      </c>
      <c r="E17" s="20" t="s">
        <v>733</v>
      </c>
    </row>
    <row r="18" spans="1:5" x14ac:dyDescent="0.3">
      <c r="A18" s="20"/>
      <c r="B18" s="26">
        <v>5236.6666666666697</v>
      </c>
      <c r="C18" s="28" t="s">
        <v>747</v>
      </c>
      <c r="D18" s="20"/>
      <c r="E18" s="20" t="s">
        <v>748</v>
      </c>
    </row>
    <row r="19" spans="1:5" x14ac:dyDescent="0.3">
      <c r="A19" s="20"/>
      <c r="B19" s="26">
        <v>9444.6666666666697</v>
      </c>
      <c r="C19" s="28" t="s">
        <v>749</v>
      </c>
      <c r="D19" s="20" t="s">
        <v>726</v>
      </c>
      <c r="E19" s="20" t="s">
        <v>748</v>
      </c>
    </row>
    <row r="20" spans="1:5" x14ac:dyDescent="0.3">
      <c r="A20" s="20"/>
      <c r="B20" s="26">
        <v>13652.666666666701</v>
      </c>
      <c r="C20" s="28" t="s">
        <v>750</v>
      </c>
      <c r="D20" s="20" t="s">
        <v>724</v>
      </c>
      <c r="E20" s="20" t="s">
        <v>748</v>
      </c>
    </row>
  </sheetData>
  <mergeCells count="1">
    <mergeCell ref="H1:H3"/>
  </mergeCells>
  <conditionalFormatting sqref="C1:C20">
    <cfRule type="duplicateValues" dxfId="1" priority="2"/>
  </conditionalFormatting>
  <conditionalFormatting sqref="E1:E3 E5:E20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17EB-508A-4FC5-8633-1D02C03FEE7F}">
  <dimension ref="A1:O21"/>
  <sheetViews>
    <sheetView workbookViewId="0">
      <selection activeCell="A2" sqref="A2"/>
    </sheetView>
  </sheetViews>
  <sheetFormatPr defaultRowHeight="14.4" x14ac:dyDescent="0.3"/>
  <cols>
    <col min="1" max="1" width="6.5546875" bestFit="1" customWidth="1"/>
    <col min="2" max="2" width="6" bestFit="1" customWidth="1"/>
    <col min="3" max="3" width="10.21875" bestFit="1" customWidth="1"/>
    <col min="4" max="4" width="7.77734375" bestFit="1" customWidth="1"/>
    <col min="5" max="5" width="15" bestFit="1" customWidth="1"/>
  </cols>
  <sheetData>
    <row r="1" spans="1:15" x14ac:dyDescent="0.3">
      <c r="A1" s="30" t="s">
        <v>717</v>
      </c>
      <c r="B1" s="30" t="s">
        <v>718</v>
      </c>
      <c r="C1" s="30" t="s">
        <v>719</v>
      </c>
      <c r="D1" s="31" t="s">
        <v>720</v>
      </c>
      <c r="E1" s="32" t="s">
        <v>721</v>
      </c>
    </row>
    <row r="2" spans="1:15" x14ac:dyDescent="0.3">
      <c r="A2" s="20" cm="1">
        <f t="array" ref="A2:A21">_xlfn.SEQUENCE(COUNT(B:B),,1,1)</f>
        <v>1</v>
      </c>
      <c r="B2" s="20">
        <v>2469</v>
      </c>
      <c r="C2" s="28" t="s">
        <v>723</v>
      </c>
      <c r="D2" s="21" t="s">
        <v>724</v>
      </c>
      <c r="E2" s="24" t="s">
        <v>739</v>
      </c>
    </row>
    <row r="3" spans="1:15" x14ac:dyDescent="0.3">
      <c r="A3" s="20">
        <v>2</v>
      </c>
      <c r="B3" s="20">
        <v>2036</v>
      </c>
      <c r="C3" s="28" t="s">
        <v>725</v>
      </c>
      <c r="D3" s="21" t="s">
        <v>726</v>
      </c>
      <c r="E3" s="24" t="s">
        <v>739</v>
      </c>
      <c r="G3" s="33" t="s">
        <v>724</v>
      </c>
      <c r="H3" s="33" t="s">
        <v>726</v>
      </c>
      <c r="J3" s="93" t="s">
        <v>753</v>
      </c>
      <c r="K3" s="93"/>
      <c r="L3" s="93"/>
      <c r="M3" s="93"/>
      <c r="N3" s="93"/>
      <c r="O3" s="93"/>
    </row>
    <row r="4" spans="1:15" x14ac:dyDescent="0.3">
      <c r="A4" s="20">
        <v>3</v>
      </c>
      <c r="B4" s="20">
        <v>3456</v>
      </c>
      <c r="C4" s="28" t="s">
        <v>727</v>
      </c>
      <c r="D4" s="21" t="s">
        <v>726</v>
      </c>
      <c r="E4" s="24" t="s">
        <v>733</v>
      </c>
      <c r="G4" s="34">
        <f>COUNTIF($D:$D,G3)</f>
        <v>9</v>
      </c>
      <c r="H4" s="34">
        <f>COUNTIF($D:$D,H3)</f>
        <v>11</v>
      </c>
      <c r="J4" s="93"/>
      <c r="K4" s="93"/>
      <c r="L4" s="93"/>
      <c r="M4" s="93"/>
      <c r="N4" s="93"/>
      <c r="O4" s="93"/>
    </row>
    <row r="5" spans="1:15" x14ac:dyDescent="0.3">
      <c r="A5" s="20">
        <v>4</v>
      </c>
      <c r="B5" s="20">
        <v>1011</v>
      </c>
      <c r="C5" s="28" t="s">
        <v>728</v>
      </c>
      <c r="D5" s="21" t="s">
        <v>724</v>
      </c>
      <c r="E5" s="25" t="s">
        <v>733</v>
      </c>
    </row>
    <row r="6" spans="1:15" x14ac:dyDescent="0.3">
      <c r="A6" s="20">
        <v>5</v>
      </c>
      <c r="B6" s="20">
        <v>331</v>
      </c>
      <c r="C6" s="28" t="s">
        <v>730</v>
      </c>
      <c r="D6" s="21" t="s">
        <v>726</v>
      </c>
      <c r="E6" s="25" t="s">
        <v>733</v>
      </c>
    </row>
    <row r="7" spans="1:15" x14ac:dyDescent="0.3">
      <c r="A7" s="20">
        <v>6</v>
      </c>
      <c r="B7" s="20">
        <v>828</v>
      </c>
      <c r="C7" s="28" t="s">
        <v>732</v>
      </c>
      <c r="D7" s="24" t="s">
        <v>724</v>
      </c>
      <c r="E7" s="25" t="s">
        <v>733</v>
      </c>
    </row>
    <row r="8" spans="1:15" x14ac:dyDescent="0.3">
      <c r="A8" s="20">
        <v>7</v>
      </c>
      <c r="B8" s="20">
        <v>10111</v>
      </c>
      <c r="C8" s="28" t="s">
        <v>734</v>
      </c>
      <c r="D8" s="24" t="s">
        <v>726</v>
      </c>
      <c r="E8" s="24" t="s">
        <v>735</v>
      </c>
    </row>
    <row r="9" spans="1:15" x14ac:dyDescent="0.3">
      <c r="A9" s="20">
        <v>8</v>
      </c>
      <c r="B9" s="20">
        <v>6387</v>
      </c>
      <c r="C9" s="28" t="s">
        <v>736</v>
      </c>
      <c r="D9" s="24" t="s">
        <v>726</v>
      </c>
      <c r="E9" s="24" t="s">
        <v>733</v>
      </c>
    </row>
    <row r="10" spans="1:15" x14ac:dyDescent="0.3">
      <c r="A10" s="20">
        <v>9</v>
      </c>
      <c r="B10" s="20">
        <v>9292</v>
      </c>
      <c r="C10" s="28" t="s">
        <v>737</v>
      </c>
      <c r="D10" s="24" t="s">
        <v>724</v>
      </c>
      <c r="E10" s="24" t="s">
        <v>733</v>
      </c>
    </row>
    <row r="11" spans="1:15" x14ac:dyDescent="0.3">
      <c r="A11" s="20">
        <v>10</v>
      </c>
      <c r="B11" s="20">
        <v>3723</v>
      </c>
      <c r="C11" s="28" t="s">
        <v>738</v>
      </c>
      <c r="D11" s="24" t="s">
        <v>726</v>
      </c>
      <c r="E11" s="24" t="s">
        <v>739</v>
      </c>
    </row>
    <row r="12" spans="1:15" x14ac:dyDescent="0.3">
      <c r="A12" s="20">
        <v>11</v>
      </c>
      <c r="B12" s="20">
        <v>727</v>
      </c>
      <c r="C12" s="28" t="s">
        <v>740</v>
      </c>
      <c r="D12" s="24" t="s">
        <v>724</v>
      </c>
      <c r="E12" s="24" t="s">
        <v>735</v>
      </c>
    </row>
    <row r="13" spans="1:15" x14ac:dyDescent="0.3">
      <c r="A13" s="20">
        <v>12</v>
      </c>
      <c r="B13" s="20">
        <v>939</v>
      </c>
      <c r="C13" s="28" t="s">
        <v>741</v>
      </c>
      <c r="D13" s="24" t="s">
        <v>724</v>
      </c>
      <c r="E13" s="24" t="s">
        <v>742</v>
      </c>
    </row>
    <row r="14" spans="1:15" x14ac:dyDescent="0.3">
      <c r="A14" s="20">
        <v>13</v>
      </c>
      <c r="B14" s="20">
        <v>847</v>
      </c>
      <c r="C14" s="28" t="s">
        <v>743</v>
      </c>
      <c r="D14" s="24" t="s">
        <v>726</v>
      </c>
      <c r="E14" s="24" t="s">
        <v>735</v>
      </c>
    </row>
    <row r="15" spans="1:15" x14ac:dyDescent="0.3">
      <c r="A15" s="20">
        <v>14</v>
      </c>
      <c r="B15" s="20">
        <v>8483</v>
      </c>
      <c r="C15" s="28" t="s">
        <v>744</v>
      </c>
      <c r="D15" s="24" t="s">
        <v>726</v>
      </c>
      <c r="E15" s="24" t="s">
        <v>739</v>
      </c>
    </row>
    <row r="16" spans="1:15" x14ac:dyDescent="0.3">
      <c r="A16" s="20">
        <v>15</v>
      </c>
      <c r="B16" s="20">
        <v>988</v>
      </c>
      <c r="C16" s="28" t="s">
        <v>745</v>
      </c>
      <c r="D16" s="24" t="s">
        <v>726</v>
      </c>
      <c r="E16" s="24" t="s">
        <v>733</v>
      </c>
    </row>
    <row r="17" spans="1:5" x14ac:dyDescent="0.3">
      <c r="A17" s="20">
        <v>16</v>
      </c>
      <c r="B17" s="20">
        <v>67</v>
      </c>
      <c r="C17" s="28" t="s">
        <v>746</v>
      </c>
      <c r="D17" s="24" t="s">
        <v>724</v>
      </c>
      <c r="E17" s="24" t="s">
        <v>733</v>
      </c>
    </row>
    <row r="18" spans="1:5" x14ac:dyDescent="0.3">
      <c r="A18" s="20">
        <v>17</v>
      </c>
      <c r="B18" s="26">
        <v>5236.6666666666697</v>
      </c>
      <c r="C18" s="28" t="s">
        <v>747</v>
      </c>
      <c r="D18" s="24" t="s">
        <v>724</v>
      </c>
      <c r="E18" s="24" t="s">
        <v>748</v>
      </c>
    </row>
    <row r="19" spans="1:5" x14ac:dyDescent="0.3">
      <c r="A19" s="20">
        <v>18</v>
      </c>
      <c r="B19" s="26">
        <v>9444.6666666666697</v>
      </c>
      <c r="C19" s="28" t="s">
        <v>749</v>
      </c>
      <c r="D19" s="24" t="s">
        <v>726</v>
      </c>
      <c r="E19" s="24" t="s">
        <v>748</v>
      </c>
    </row>
    <row r="20" spans="1:5" x14ac:dyDescent="0.3">
      <c r="A20" s="20">
        <v>19</v>
      </c>
      <c r="B20" s="26">
        <v>13652.666666666701</v>
      </c>
      <c r="C20" s="28" t="s">
        <v>750</v>
      </c>
      <c r="D20" s="24" t="s">
        <v>724</v>
      </c>
      <c r="E20" s="24" t="s">
        <v>748</v>
      </c>
    </row>
    <row r="21" spans="1:5" x14ac:dyDescent="0.3">
      <c r="A21" s="20">
        <v>20</v>
      </c>
      <c r="B21" s="20">
        <v>2036</v>
      </c>
      <c r="C21" s="28" t="s">
        <v>725</v>
      </c>
      <c r="D21" s="24" t="s">
        <v>726</v>
      </c>
      <c r="E21" s="24" t="s">
        <v>754</v>
      </c>
    </row>
  </sheetData>
  <mergeCells count="1">
    <mergeCell ref="J3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F3F1-40C0-4595-AF51-14CA66C27FF3}">
  <dimension ref="A1:I20"/>
  <sheetViews>
    <sheetView workbookViewId="0">
      <selection activeCell="I14" sqref="I14"/>
    </sheetView>
  </sheetViews>
  <sheetFormatPr defaultRowHeight="14.4" x14ac:dyDescent="0.3"/>
  <cols>
    <col min="1" max="1" width="5.5546875" bestFit="1" customWidth="1"/>
    <col min="2" max="2" width="5.77734375" bestFit="1" customWidth="1"/>
    <col min="3" max="3" width="9.21875" bestFit="1" customWidth="1"/>
    <col min="4" max="4" width="7" bestFit="1" customWidth="1"/>
    <col min="5" max="5" width="13.77734375" bestFit="1" customWidth="1"/>
    <col min="6" max="6" width="17.77734375" bestFit="1" customWidth="1"/>
    <col min="7" max="7" width="17.77734375" customWidth="1"/>
    <col min="9" max="9" width="24.44140625" bestFit="1" customWidth="1"/>
  </cols>
  <sheetData>
    <row r="1" spans="1:9" x14ac:dyDescent="0.3">
      <c r="A1" s="17" t="s">
        <v>717</v>
      </c>
      <c r="B1" s="17" t="s">
        <v>718</v>
      </c>
      <c r="C1" s="17" t="s">
        <v>719</v>
      </c>
      <c r="D1" s="17" t="s">
        <v>720</v>
      </c>
      <c r="E1" s="17" t="s">
        <v>721</v>
      </c>
      <c r="F1" s="17" t="s">
        <v>1201</v>
      </c>
      <c r="G1" s="73" t="s">
        <v>1232</v>
      </c>
      <c r="H1" s="19"/>
      <c r="I1" s="19"/>
    </row>
    <row r="2" spans="1:9" x14ac:dyDescent="0.3">
      <c r="A2" s="24"/>
      <c r="B2" s="20">
        <v>2469</v>
      </c>
      <c r="C2" s="20" t="s">
        <v>723</v>
      </c>
      <c r="D2" s="24" t="s">
        <v>724</v>
      </c>
      <c r="E2" s="22">
        <f>COUNTBLANK(J12:L61)</f>
        <v>150</v>
      </c>
      <c r="F2" s="24" t="s">
        <v>755</v>
      </c>
      <c r="G2" s="19" t="str">
        <f>RIGHT(F2,FIND(" ",F2))</f>
        <v>Giza</v>
      </c>
      <c r="H2" s="19"/>
      <c r="I2" s="90" t="s">
        <v>756</v>
      </c>
    </row>
    <row r="3" spans="1:9" x14ac:dyDescent="0.3">
      <c r="A3" s="20"/>
      <c r="B3" s="20">
        <v>2036</v>
      </c>
      <c r="C3" s="20" t="s">
        <v>725</v>
      </c>
      <c r="D3" s="24" t="s">
        <v>726</v>
      </c>
      <c r="E3" s="22" t="e">
        <f>COUNTIF([1]!Table1[Account],"Movefix")</f>
        <v>#REF!</v>
      </c>
      <c r="F3" s="24" t="s">
        <v>757</v>
      </c>
      <c r="G3" s="19" t="str">
        <f>RIGHT(F3,FIND(" ",F3))</f>
        <v>r Cairo</v>
      </c>
      <c r="H3" s="19"/>
      <c r="I3" s="90"/>
    </row>
    <row r="4" spans="1:9" x14ac:dyDescent="0.3">
      <c r="A4" s="20"/>
      <c r="B4" s="20">
        <v>3456</v>
      </c>
      <c r="C4" s="20" t="s">
        <v>727</v>
      </c>
      <c r="D4" s="24" t="s">
        <v>726</v>
      </c>
      <c r="E4" s="22" t="e">
        <f>COUNTIF([1]!Table1[Gender],"Female")</f>
        <v>#REF!</v>
      </c>
      <c r="F4" s="24" t="s">
        <v>758</v>
      </c>
      <c r="G4" s="19" t="str">
        <f t="shared" ref="G4:G20" si="0">RIGHT(F4,FIND(" ",F4))</f>
        <v>nx Giza</v>
      </c>
      <c r="H4" s="19"/>
      <c r="I4" s="90"/>
    </row>
    <row r="5" spans="1:9" x14ac:dyDescent="0.3">
      <c r="A5" s="20"/>
      <c r="B5" s="20">
        <v>1011</v>
      </c>
      <c r="C5" s="20" t="s">
        <v>728</v>
      </c>
      <c r="D5" s="24" t="s">
        <v>724</v>
      </c>
      <c r="E5" s="22">
        <f>COUNTIF(L12:L61,"No")</f>
        <v>0</v>
      </c>
      <c r="F5" s="24" t="s">
        <v>755</v>
      </c>
      <c r="G5" s="19" t="str">
        <f t="shared" si="0"/>
        <v>Giza</v>
      </c>
      <c r="H5" s="19"/>
      <c r="I5" s="15"/>
    </row>
    <row r="6" spans="1:9" x14ac:dyDescent="0.3">
      <c r="A6" s="20"/>
      <c r="B6" s="20">
        <v>331</v>
      </c>
      <c r="C6" s="20" t="s">
        <v>730</v>
      </c>
      <c r="D6" s="24" t="s">
        <v>726</v>
      </c>
      <c r="E6" s="22">
        <f>COUNTIFS(H11:H61,"&gt;=70%",H11:H61,"&lt;=90%")</f>
        <v>0</v>
      </c>
      <c r="F6" s="24" t="s">
        <v>757</v>
      </c>
      <c r="G6" s="19" t="str">
        <f t="shared" si="0"/>
        <v>r Cairo</v>
      </c>
      <c r="H6" s="19"/>
      <c r="I6" s="15"/>
    </row>
    <row r="7" spans="1:9" x14ac:dyDescent="0.3">
      <c r="A7" s="20"/>
      <c r="B7" s="20">
        <v>828</v>
      </c>
      <c r="C7" s="20" t="s">
        <v>732</v>
      </c>
      <c r="D7" s="24" t="s">
        <v>724</v>
      </c>
      <c r="E7" s="24" t="s">
        <v>733</v>
      </c>
      <c r="F7" s="24" t="s">
        <v>759</v>
      </c>
      <c r="G7" s="19" t="str">
        <f t="shared" si="0"/>
        <v>non Giza</v>
      </c>
      <c r="H7" s="19"/>
      <c r="I7" s="15"/>
    </row>
    <row r="8" spans="1:9" x14ac:dyDescent="0.3">
      <c r="A8" s="20"/>
      <c r="B8" s="20">
        <v>10111</v>
      </c>
      <c r="C8" s="20" t="s">
        <v>734</v>
      </c>
      <c r="D8" s="24" t="s">
        <v>726</v>
      </c>
      <c r="E8" s="24" t="s">
        <v>735</v>
      </c>
      <c r="F8" s="24" t="s">
        <v>760</v>
      </c>
      <c r="G8" s="19" t="str">
        <f t="shared" si="0"/>
        <v>n Giza</v>
      </c>
      <c r="H8" s="19"/>
      <c r="I8" s="19"/>
    </row>
    <row r="9" spans="1:9" x14ac:dyDescent="0.3">
      <c r="A9" s="20"/>
      <c r="B9" s="20">
        <v>6387</v>
      </c>
      <c r="C9" s="20" t="s">
        <v>736</v>
      </c>
      <c r="D9" s="24" t="s">
        <v>726</v>
      </c>
      <c r="E9" s="24" t="s">
        <v>733</v>
      </c>
      <c r="F9" s="24" t="s">
        <v>759</v>
      </c>
      <c r="G9" s="19" t="str">
        <f t="shared" si="0"/>
        <v>non Giza</v>
      </c>
      <c r="H9" s="19"/>
      <c r="I9" s="36" t="s">
        <v>761</v>
      </c>
    </row>
    <row r="10" spans="1:9" x14ac:dyDescent="0.3">
      <c r="A10" s="20"/>
      <c r="B10" s="20">
        <v>9292</v>
      </c>
      <c r="C10" s="20" t="s">
        <v>737</v>
      </c>
      <c r="D10" s="24" t="s">
        <v>724</v>
      </c>
      <c r="E10" s="24" t="s">
        <v>733</v>
      </c>
      <c r="F10" s="24" t="s">
        <v>759</v>
      </c>
      <c r="G10" s="19" t="str">
        <f t="shared" si="0"/>
        <v>non Giza</v>
      </c>
      <c r="H10" s="19"/>
      <c r="I10" s="19">
        <f>COUNTIF(F2:F20,"*Giza*")</f>
        <v>17</v>
      </c>
    </row>
    <row r="11" spans="1:9" x14ac:dyDescent="0.3">
      <c r="A11" s="20"/>
      <c r="B11" s="20">
        <v>3723</v>
      </c>
      <c r="C11" s="20" t="s">
        <v>738</v>
      </c>
      <c r="D11" s="24" t="s">
        <v>726</v>
      </c>
      <c r="E11" s="24" t="s">
        <v>739</v>
      </c>
      <c r="F11" s="24" t="s">
        <v>755</v>
      </c>
      <c r="G11" s="19" t="str">
        <f t="shared" si="0"/>
        <v>Giza</v>
      </c>
      <c r="H11" s="19"/>
    </row>
    <row r="12" spans="1:9" x14ac:dyDescent="0.3">
      <c r="A12" s="20"/>
      <c r="B12" s="20">
        <v>727</v>
      </c>
      <c r="C12" s="20" t="s">
        <v>740</v>
      </c>
      <c r="D12" s="24" t="s">
        <v>724</v>
      </c>
      <c r="E12" s="24" t="s">
        <v>735</v>
      </c>
      <c r="F12" s="24" t="s">
        <v>760</v>
      </c>
      <c r="G12" s="19" t="str">
        <f t="shared" si="0"/>
        <v>n Giza</v>
      </c>
      <c r="H12" s="19"/>
      <c r="I12" s="36" t="s">
        <v>762</v>
      </c>
    </row>
    <row r="13" spans="1:9" x14ac:dyDescent="0.3">
      <c r="A13" s="20"/>
      <c r="B13" s="20">
        <v>939</v>
      </c>
      <c r="C13" s="20" t="s">
        <v>741</v>
      </c>
      <c r="D13" s="24" t="s">
        <v>724</v>
      </c>
      <c r="E13" s="24" t="s">
        <v>742</v>
      </c>
      <c r="F13" s="24" t="s">
        <v>763</v>
      </c>
      <c r="G13" s="19" t="str">
        <f t="shared" si="0"/>
        <v>iza</v>
      </c>
      <c r="H13" s="19"/>
      <c r="I13" s="19">
        <f>COUNTIF(F2:F20,"*Cairo*")</f>
        <v>2</v>
      </c>
    </row>
    <row r="14" spans="1:9" x14ac:dyDescent="0.3">
      <c r="A14" s="20"/>
      <c r="B14" s="20">
        <v>847</v>
      </c>
      <c r="C14" s="20" t="s">
        <v>743</v>
      </c>
      <c r="D14" s="24" t="s">
        <v>726</v>
      </c>
      <c r="E14" s="24" t="s">
        <v>735</v>
      </c>
      <c r="F14" s="24" t="s">
        <v>760</v>
      </c>
      <c r="G14" s="19" t="str">
        <f t="shared" si="0"/>
        <v>n Giza</v>
      </c>
      <c r="H14" s="19"/>
      <c r="I14" s="19"/>
    </row>
    <row r="15" spans="1:9" x14ac:dyDescent="0.3">
      <c r="A15" s="20"/>
      <c r="B15" s="20">
        <v>8483</v>
      </c>
      <c r="C15" s="20" t="s">
        <v>744</v>
      </c>
      <c r="D15" s="24" t="s">
        <v>726</v>
      </c>
      <c r="E15" s="24" t="s">
        <v>739</v>
      </c>
      <c r="F15" s="24" t="s">
        <v>755</v>
      </c>
      <c r="G15" s="19" t="str">
        <f t="shared" si="0"/>
        <v>Giza</v>
      </c>
      <c r="H15" s="19"/>
      <c r="I15" s="19"/>
    </row>
    <row r="16" spans="1:9" x14ac:dyDescent="0.3">
      <c r="A16" s="20"/>
      <c r="B16" s="20">
        <v>988</v>
      </c>
      <c r="C16" s="20" t="s">
        <v>745</v>
      </c>
      <c r="D16" s="24" t="s">
        <v>726</v>
      </c>
      <c r="E16" s="24" t="s">
        <v>733</v>
      </c>
      <c r="F16" s="24" t="s">
        <v>759</v>
      </c>
      <c r="G16" s="19" t="str">
        <f t="shared" si="0"/>
        <v>non Giza</v>
      </c>
      <c r="H16" s="19"/>
      <c r="I16" s="19"/>
    </row>
    <row r="17" spans="1:9" x14ac:dyDescent="0.3">
      <c r="A17" s="20"/>
      <c r="B17" s="20">
        <v>67</v>
      </c>
      <c r="C17" s="20" t="s">
        <v>746</v>
      </c>
      <c r="D17" s="24" t="s">
        <v>724</v>
      </c>
      <c r="E17" s="24" t="s">
        <v>733</v>
      </c>
      <c r="F17" s="24" t="s">
        <v>759</v>
      </c>
      <c r="G17" s="19" t="str">
        <f t="shared" si="0"/>
        <v>non Giza</v>
      </c>
      <c r="H17" s="19"/>
      <c r="I17" s="19"/>
    </row>
    <row r="18" spans="1:9" x14ac:dyDescent="0.3">
      <c r="A18" s="20"/>
      <c r="B18" s="26">
        <v>5236.6666666666697</v>
      </c>
      <c r="C18" s="20" t="s">
        <v>747</v>
      </c>
      <c r="D18" s="24" t="s">
        <v>724</v>
      </c>
      <c r="E18" s="24" t="s">
        <v>748</v>
      </c>
      <c r="F18" s="24" t="s">
        <v>764</v>
      </c>
      <c r="G18" s="19" t="str">
        <f t="shared" si="0"/>
        <v>za Giza</v>
      </c>
      <c r="H18" s="19"/>
      <c r="I18" s="19"/>
    </row>
    <row r="19" spans="1:9" x14ac:dyDescent="0.3">
      <c r="A19" s="20"/>
      <c r="B19" s="26">
        <v>9444.6666666666697</v>
      </c>
      <c r="C19" s="20" t="s">
        <v>749</v>
      </c>
      <c r="D19" s="24" t="s">
        <v>726</v>
      </c>
      <c r="E19" s="24" t="s">
        <v>748</v>
      </c>
      <c r="F19" s="24" t="s">
        <v>764</v>
      </c>
      <c r="G19" s="19" t="str">
        <f t="shared" si="0"/>
        <v>za Giza</v>
      </c>
      <c r="H19" s="19"/>
      <c r="I19" s="19"/>
    </row>
    <row r="20" spans="1:9" x14ac:dyDescent="0.3">
      <c r="A20" s="20"/>
      <c r="B20" s="26">
        <v>13652.666666666701</v>
      </c>
      <c r="C20" s="20" t="s">
        <v>750</v>
      </c>
      <c r="D20" s="24" t="s">
        <v>724</v>
      </c>
      <c r="E20" s="24" t="s">
        <v>748</v>
      </c>
      <c r="F20" s="24" t="s">
        <v>764</v>
      </c>
      <c r="G20" s="19" t="str">
        <f t="shared" si="0"/>
        <v>za Giza</v>
      </c>
      <c r="H20" s="19"/>
      <c r="I20" s="19"/>
    </row>
  </sheetData>
  <mergeCells count="1">
    <mergeCell ref="I2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2741-AFC7-45D9-9561-6D98FA3333FE}">
  <dimension ref="A2:K61"/>
  <sheetViews>
    <sheetView workbookViewId="0">
      <selection activeCell="D22" sqref="D22"/>
    </sheetView>
  </sheetViews>
  <sheetFormatPr defaultRowHeight="14.4" x14ac:dyDescent="0.3"/>
  <cols>
    <col min="1" max="1" width="5.5546875" bestFit="1" customWidth="1"/>
    <col min="2" max="2" width="5.21875" bestFit="1" customWidth="1"/>
    <col min="3" max="3" width="16.5546875" bestFit="1" customWidth="1"/>
    <col min="4" max="4" width="49.21875" bestFit="1" customWidth="1"/>
    <col min="5" max="5" width="13.21875" bestFit="1" customWidth="1"/>
    <col min="6" max="6" width="10.77734375" bestFit="1" customWidth="1"/>
    <col min="7" max="7" width="7" bestFit="1" customWidth="1"/>
    <col min="8" max="8" width="3.77734375" bestFit="1" customWidth="1"/>
    <col min="9" max="9" width="15.77734375" bestFit="1" customWidth="1"/>
    <col min="10" max="10" width="14.44140625" bestFit="1" customWidth="1"/>
    <col min="11" max="11" width="16.44140625" bestFit="1" customWidth="1"/>
  </cols>
  <sheetData>
    <row r="2" spans="1:11" x14ac:dyDescent="0.3">
      <c r="B2" s="86" t="s">
        <v>765</v>
      </c>
      <c r="C2" s="87"/>
      <c r="D2" s="35" t="s">
        <v>766</v>
      </c>
      <c r="E2" s="37" t="s">
        <v>767</v>
      </c>
      <c r="F2">
        <f>COUNTBLANK(B11:K61)</f>
        <v>7</v>
      </c>
    </row>
    <row r="3" spans="1:11" x14ac:dyDescent="0.3">
      <c r="B3" s="86"/>
      <c r="C3" s="87"/>
      <c r="D3" s="35" t="s">
        <v>768</v>
      </c>
      <c r="E3" s="37" t="s">
        <v>769</v>
      </c>
      <c r="F3">
        <f>COUNTIF(Table1[Account],$G$3)</f>
        <v>10</v>
      </c>
      <c r="G3" s="74" t="s">
        <v>787</v>
      </c>
    </row>
    <row r="4" spans="1:11" x14ac:dyDescent="0.3">
      <c r="B4" s="86"/>
      <c r="C4" s="87"/>
      <c r="D4" s="35" t="s">
        <v>770</v>
      </c>
      <c r="E4" s="37" t="s">
        <v>771</v>
      </c>
      <c r="F4">
        <f>COUNTIF(Table1[Gender],$G$4)</f>
        <v>30</v>
      </c>
      <c r="G4" s="75" t="s">
        <v>726</v>
      </c>
    </row>
    <row r="5" spans="1:11" x14ac:dyDescent="0.3">
      <c r="B5" s="86"/>
      <c r="C5" s="87"/>
      <c r="D5" s="38" t="s">
        <v>772</v>
      </c>
      <c r="E5" s="37" t="s">
        <v>773</v>
      </c>
      <c r="F5">
        <f>COUNTIFS(Table1[Gender],$G$5,$K$12:$K$61,"No")</f>
        <v>4</v>
      </c>
      <c r="G5" s="76" t="s">
        <v>724</v>
      </c>
    </row>
    <row r="6" spans="1:11" x14ac:dyDescent="0.3">
      <c r="B6" s="86"/>
      <c r="C6" s="87"/>
      <c r="D6" s="38" t="s">
        <v>774</v>
      </c>
      <c r="E6" s="84" t="s">
        <v>775</v>
      </c>
      <c r="F6">
        <f>COUNTIFS(G12:G61,"&gt;=70%",G12:G61,"&lt;=90%")</f>
        <v>10</v>
      </c>
    </row>
    <row r="7" spans="1:11" x14ac:dyDescent="0.3">
      <c r="B7" s="86"/>
      <c r="C7" s="87"/>
      <c r="D7" s="39" t="s">
        <v>776</v>
      </c>
      <c r="E7" s="85"/>
      <c r="F7" s="16"/>
    </row>
    <row r="9" spans="1:11" x14ac:dyDescent="0.3">
      <c r="A9" s="77"/>
      <c r="B9" s="78"/>
      <c r="C9" s="78"/>
      <c r="D9" s="78"/>
      <c r="E9" s="78"/>
      <c r="F9" s="78"/>
      <c r="G9" s="78"/>
      <c r="H9" s="79"/>
      <c r="I9" s="83" t="s">
        <v>777</v>
      </c>
      <c r="J9" s="83"/>
      <c r="K9" s="83"/>
    </row>
    <row r="10" spans="1:11" x14ac:dyDescent="0.3">
      <c r="A10" s="80"/>
      <c r="B10" s="81"/>
      <c r="C10" s="81"/>
      <c r="D10" s="81"/>
      <c r="E10" s="81"/>
      <c r="F10" s="81"/>
      <c r="G10" s="81"/>
      <c r="H10" s="82"/>
      <c r="I10" s="83"/>
      <c r="J10" s="83"/>
      <c r="K10" s="83"/>
    </row>
    <row r="11" spans="1:11" x14ac:dyDescent="0.3">
      <c r="A11" s="40" t="s">
        <v>717</v>
      </c>
      <c r="B11" s="41" t="s">
        <v>718</v>
      </c>
      <c r="C11" s="41" t="s">
        <v>778</v>
      </c>
      <c r="D11" s="41" t="s">
        <v>779</v>
      </c>
      <c r="E11" s="41" t="s">
        <v>780</v>
      </c>
      <c r="F11" s="41" t="s">
        <v>720</v>
      </c>
      <c r="G11" s="42" t="s">
        <v>781</v>
      </c>
      <c r="H11" s="43" t="s">
        <v>782</v>
      </c>
      <c r="I11" s="27" t="s">
        <v>783</v>
      </c>
      <c r="J11" s="27" t="s">
        <v>784</v>
      </c>
      <c r="K11" s="27" t="s">
        <v>785</v>
      </c>
    </row>
    <row r="12" spans="1:11" x14ac:dyDescent="0.3">
      <c r="A12" s="44"/>
      <c r="B12" s="45">
        <v>9399</v>
      </c>
      <c r="C12" s="45" t="s">
        <v>786</v>
      </c>
      <c r="D12" s="45" t="s">
        <v>787</v>
      </c>
      <c r="E12" s="45">
        <v>1207268750</v>
      </c>
      <c r="F12" s="46" t="s">
        <v>724</v>
      </c>
      <c r="G12" s="47">
        <v>0.61</v>
      </c>
      <c r="H12" s="48">
        <v>0.08</v>
      </c>
      <c r="I12" s="45"/>
      <c r="J12" s="45" t="s">
        <v>788</v>
      </c>
      <c r="K12" s="45" t="s">
        <v>789</v>
      </c>
    </row>
    <row r="13" spans="1:11" x14ac:dyDescent="0.3">
      <c r="A13" s="2"/>
      <c r="B13" s="1">
        <v>5394</v>
      </c>
      <c r="C13" s="1" t="s">
        <v>790</v>
      </c>
      <c r="D13" s="1" t="s">
        <v>791</v>
      </c>
      <c r="E13" s="1">
        <v>1020230753</v>
      </c>
      <c r="F13" s="49" t="s">
        <v>726</v>
      </c>
      <c r="G13" s="47">
        <v>0.13</v>
      </c>
      <c r="H13" s="48">
        <v>0.03</v>
      </c>
      <c r="I13" s="1" t="s">
        <v>788</v>
      </c>
      <c r="J13" s="1" t="s">
        <v>788</v>
      </c>
      <c r="K13" s="1" t="s">
        <v>792</v>
      </c>
    </row>
    <row r="14" spans="1:11" x14ac:dyDescent="0.3">
      <c r="A14" s="2"/>
      <c r="B14" s="1">
        <v>2164</v>
      </c>
      <c r="C14" s="1" t="s">
        <v>793</v>
      </c>
      <c r="D14" s="1" t="s">
        <v>794</v>
      </c>
      <c r="E14" s="1">
        <v>1211823573</v>
      </c>
      <c r="F14" s="3" t="s">
        <v>726</v>
      </c>
      <c r="G14" s="47">
        <v>0.57999999999999996</v>
      </c>
      <c r="H14" s="48">
        <v>0.03</v>
      </c>
      <c r="I14" s="1" t="s">
        <v>788</v>
      </c>
      <c r="J14" s="1" t="s">
        <v>788</v>
      </c>
      <c r="K14" s="1" t="s">
        <v>792</v>
      </c>
    </row>
    <row r="15" spans="1:11" x14ac:dyDescent="0.3">
      <c r="A15" s="2"/>
      <c r="B15" s="1">
        <v>6698</v>
      </c>
      <c r="C15" s="1" t="s">
        <v>795</v>
      </c>
      <c r="D15" s="1" t="s">
        <v>796</v>
      </c>
      <c r="E15" s="1">
        <v>1042264784</v>
      </c>
      <c r="F15" s="3" t="s">
        <v>726</v>
      </c>
      <c r="G15" s="47">
        <v>0.49</v>
      </c>
      <c r="H15" s="48">
        <v>0.05</v>
      </c>
      <c r="I15" s="1" t="s">
        <v>788</v>
      </c>
      <c r="J15" s="1" t="s">
        <v>788</v>
      </c>
      <c r="K15" s="1" t="s">
        <v>792</v>
      </c>
    </row>
    <row r="16" spans="1:11" x14ac:dyDescent="0.3">
      <c r="A16" s="2"/>
      <c r="B16" s="1">
        <v>685</v>
      </c>
      <c r="C16" s="1" t="s">
        <v>797</v>
      </c>
      <c r="D16" s="1" t="s">
        <v>798</v>
      </c>
      <c r="E16" s="1">
        <v>1229475771</v>
      </c>
      <c r="F16" s="3" t="s">
        <v>724</v>
      </c>
      <c r="G16" s="47">
        <v>0.02</v>
      </c>
      <c r="H16" s="48">
        <v>0.02</v>
      </c>
      <c r="I16" s="1" t="s">
        <v>788</v>
      </c>
      <c r="J16" s="1" t="s">
        <v>789</v>
      </c>
      <c r="K16" s="1" t="s">
        <v>788</v>
      </c>
    </row>
    <row r="17" spans="1:11" x14ac:dyDescent="0.3">
      <c r="A17" s="2"/>
      <c r="B17" s="1">
        <v>8655</v>
      </c>
      <c r="C17" s="1" t="s">
        <v>799</v>
      </c>
      <c r="D17" s="1" t="s">
        <v>794</v>
      </c>
      <c r="E17" s="1">
        <v>1029843309</v>
      </c>
      <c r="F17" s="3" t="s">
        <v>726</v>
      </c>
      <c r="G17" s="47">
        <v>0.14000000000000001</v>
      </c>
      <c r="H17" s="48">
        <v>0.03</v>
      </c>
      <c r="I17" s="1" t="s">
        <v>789</v>
      </c>
      <c r="J17" s="1" t="s">
        <v>788</v>
      </c>
      <c r="K17" s="1" t="s">
        <v>792</v>
      </c>
    </row>
    <row r="18" spans="1:11" x14ac:dyDescent="0.3">
      <c r="A18" s="2"/>
      <c r="B18" s="1">
        <v>8083</v>
      </c>
      <c r="C18" s="1" t="s">
        <v>800</v>
      </c>
      <c r="D18" s="1" t="s">
        <v>791</v>
      </c>
      <c r="E18" s="1">
        <v>1228662133</v>
      </c>
      <c r="F18" s="3" t="s">
        <v>724</v>
      </c>
      <c r="G18" s="47">
        <v>0.93</v>
      </c>
      <c r="H18" s="48">
        <v>0.01</v>
      </c>
      <c r="I18" s="1" t="s">
        <v>788</v>
      </c>
      <c r="J18" s="1" t="s">
        <v>788</v>
      </c>
      <c r="K18" s="1" t="s">
        <v>788</v>
      </c>
    </row>
    <row r="19" spans="1:11" x14ac:dyDescent="0.3">
      <c r="A19" s="2"/>
      <c r="B19" s="1">
        <v>9152</v>
      </c>
      <c r="C19" s="1" t="s">
        <v>801</v>
      </c>
      <c r="D19" s="1" t="s">
        <v>791</v>
      </c>
      <c r="E19" s="1">
        <v>1095275788</v>
      </c>
      <c r="F19" s="3" t="s">
        <v>726</v>
      </c>
      <c r="G19" s="47">
        <v>0.9</v>
      </c>
      <c r="H19" s="48">
        <v>0.01</v>
      </c>
      <c r="I19" s="1" t="s">
        <v>789</v>
      </c>
      <c r="J19" s="1" t="s">
        <v>788</v>
      </c>
      <c r="K19" s="1" t="s">
        <v>792</v>
      </c>
    </row>
    <row r="20" spans="1:11" x14ac:dyDescent="0.3">
      <c r="A20" s="2"/>
      <c r="B20" s="1">
        <v>1729</v>
      </c>
      <c r="C20" s="1" t="s">
        <v>802</v>
      </c>
      <c r="D20" s="1" t="s">
        <v>794</v>
      </c>
      <c r="E20" s="1">
        <v>1171220560</v>
      </c>
      <c r="F20" s="3" t="s">
        <v>726</v>
      </c>
      <c r="G20" s="47">
        <v>0.5</v>
      </c>
      <c r="H20" s="48">
        <v>0.03</v>
      </c>
      <c r="I20" s="1" t="s">
        <v>788</v>
      </c>
      <c r="J20" s="1" t="s">
        <v>788</v>
      </c>
      <c r="K20" s="1" t="s">
        <v>792</v>
      </c>
    </row>
    <row r="21" spans="1:11" x14ac:dyDescent="0.3">
      <c r="A21" s="2"/>
      <c r="B21" s="1">
        <v>651</v>
      </c>
      <c r="C21" s="1" t="s">
        <v>803</v>
      </c>
      <c r="D21" s="1" t="s">
        <v>798</v>
      </c>
      <c r="E21" s="1">
        <v>1209584210</v>
      </c>
      <c r="F21" s="3" t="s">
        <v>726</v>
      </c>
      <c r="G21" s="47">
        <v>0.73</v>
      </c>
      <c r="H21" s="48">
        <v>0.08</v>
      </c>
      <c r="I21" s="1" t="s">
        <v>788</v>
      </c>
      <c r="J21" s="1" t="s">
        <v>789</v>
      </c>
      <c r="K21" s="1" t="s">
        <v>792</v>
      </c>
    </row>
    <row r="22" spans="1:11" x14ac:dyDescent="0.3">
      <c r="A22" s="2"/>
      <c r="B22" s="1">
        <v>745</v>
      </c>
      <c r="C22" s="1" t="s">
        <v>804</v>
      </c>
      <c r="D22" s="1" t="s">
        <v>798</v>
      </c>
      <c r="E22" s="1">
        <v>1159560103</v>
      </c>
      <c r="F22" s="3" t="s">
        <v>726</v>
      </c>
      <c r="G22" s="47">
        <v>0.67</v>
      </c>
      <c r="H22" s="48">
        <v>0.02</v>
      </c>
      <c r="I22" s="1" t="s">
        <v>788</v>
      </c>
      <c r="J22" s="1" t="s">
        <v>789</v>
      </c>
      <c r="K22" s="1" t="s">
        <v>792</v>
      </c>
    </row>
    <row r="23" spans="1:11" x14ac:dyDescent="0.3">
      <c r="A23" s="2"/>
      <c r="B23" s="1">
        <v>867</v>
      </c>
      <c r="C23" s="1" t="s">
        <v>805</v>
      </c>
      <c r="D23" s="1" t="s">
        <v>787</v>
      </c>
      <c r="E23" s="1">
        <v>1179633564</v>
      </c>
      <c r="F23" s="3" t="s">
        <v>724</v>
      </c>
      <c r="G23" s="47">
        <v>0.88</v>
      </c>
      <c r="H23" s="48">
        <v>0.05</v>
      </c>
      <c r="I23" s="1" t="s">
        <v>788</v>
      </c>
      <c r="J23" s="1" t="s">
        <v>788</v>
      </c>
      <c r="K23" s="1" t="s">
        <v>788</v>
      </c>
    </row>
    <row r="24" spans="1:11" x14ac:dyDescent="0.3">
      <c r="A24" s="2"/>
      <c r="B24" s="1">
        <v>7893</v>
      </c>
      <c r="C24" s="1" t="s">
        <v>806</v>
      </c>
      <c r="D24" s="1" t="s">
        <v>787</v>
      </c>
      <c r="E24" s="1">
        <v>1095089063</v>
      </c>
      <c r="F24" s="3" t="s">
        <v>726</v>
      </c>
      <c r="G24" s="47">
        <v>0.04</v>
      </c>
      <c r="H24" s="48">
        <v>0.01</v>
      </c>
      <c r="I24" s="1" t="s">
        <v>788</v>
      </c>
      <c r="J24" s="1" t="s">
        <v>788</v>
      </c>
      <c r="K24" s="1" t="s">
        <v>792</v>
      </c>
    </row>
    <row r="25" spans="1:11" x14ac:dyDescent="0.3">
      <c r="A25" s="2"/>
      <c r="B25" s="1">
        <v>9607</v>
      </c>
      <c r="C25" s="1" t="s">
        <v>807</v>
      </c>
      <c r="D25" s="1" t="s">
        <v>796</v>
      </c>
      <c r="E25" s="1">
        <v>1068640953</v>
      </c>
      <c r="F25" s="3" t="s">
        <v>724</v>
      </c>
      <c r="G25" s="47">
        <v>0.32</v>
      </c>
      <c r="H25" s="48">
        <v>0.06</v>
      </c>
      <c r="I25" s="1" t="s">
        <v>788</v>
      </c>
      <c r="J25" s="1" t="s">
        <v>788</v>
      </c>
      <c r="K25" s="1" t="s">
        <v>788</v>
      </c>
    </row>
    <row r="26" spans="1:11" x14ac:dyDescent="0.3">
      <c r="A26" s="2"/>
      <c r="B26" s="1">
        <v>9784</v>
      </c>
      <c r="C26" s="1" t="s">
        <v>808</v>
      </c>
      <c r="D26" s="1" t="s">
        <v>798</v>
      </c>
      <c r="E26" s="1">
        <v>1100363311</v>
      </c>
      <c r="F26" s="3" t="s">
        <v>724</v>
      </c>
      <c r="G26" s="47">
        <v>0.84</v>
      </c>
      <c r="H26" s="48">
        <v>0.08</v>
      </c>
      <c r="I26" s="1" t="s">
        <v>788</v>
      </c>
      <c r="J26" s="1" t="s">
        <v>789</v>
      </c>
      <c r="K26" s="1" t="s">
        <v>788</v>
      </c>
    </row>
    <row r="27" spans="1:11" x14ac:dyDescent="0.3">
      <c r="A27" s="2"/>
      <c r="B27" s="1">
        <v>4161</v>
      </c>
      <c r="C27" s="1" t="s">
        <v>809</v>
      </c>
      <c r="D27" s="1" t="s">
        <v>791</v>
      </c>
      <c r="E27" s="1">
        <v>1133789545</v>
      </c>
      <c r="F27" s="3" t="s">
        <v>724</v>
      </c>
      <c r="G27" s="47">
        <v>0.69000000000000006</v>
      </c>
      <c r="H27" s="48">
        <v>7.0000000000000007E-2</v>
      </c>
      <c r="I27" s="1" t="s">
        <v>788</v>
      </c>
      <c r="J27" s="1" t="s">
        <v>788</v>
      </c>
      <c r="K27" s="1" t="s">
        <v>788</v>
      </c>
    </row>
    <row r="28" spans="1:11" x14ac:dyDescent="0.3">
      <c r="A28" s="2"/>
      <c r="B28" s="1">
        <v>7093</v>
      </c>
      <c r="C28" s="1" t="s">
        <v>810</v>
      </c>
      <c r="D28" s="1" t="s">
        <v>794</v>
      </c>
      <c r="E28" s="1">
        <v>1106538957</v>
      </c>
      <c r="F28" s="3" t="s">
        <v>726</v>
      </c>
      <c r="G28" s="47">
        <v>0.85</v>
      </c>
      <c r="H28" s="48">
        <v>0.04</v>
      </c>
      <c r="I28" s="1" t="s">
        <v>788</v>
      </c>
      <c r="J28" s="1" t="s">
        <v>788</v>
      </c>
      <c r="K28" s="1" t="s">
        <v>792</v>
      </c>
    </row>
    <row r="29" spans="1:11" x14ac:dyDescent="0.3">
      <c r="A29" s="2"/>
      <c r="B29" s="1">
        <v>3697</v>
      </c>
      <c r="C29" s="1" t="s">
        <v>811</v>
      </c>
      <c r="D29" s="1" t="s">
        <v>794</v>
      </c>
      <c r="E29" s="1">
        <v>1229587331</v>
      </c>
      <c r="F29" s="3" t="s">
        <v>726</v>
      </c>
      <c r="G29" s="47">
        <v>0.89</v>
      </c>
      <c r="H29" s="48">
        <v>0</v>
      </c>
      <c r="I29" s="1" t="s">
        <v>789</v>
      </c>
      <c r="J29" s="1" t="s">
        <v>788</v>
      </c>
      <c r="K29" s="1" t="s">
        <v>792</v>
      </c>
    </row>
    <row r="30" spans="1:11" x14ac:dyDescent="0.3">
      <c r="A30" s="2"/>
      <c r="B30" s="1">
        <v>5433</v>
      </c>
      <c r="C30" s="1" t="s">
        <v>812</v>
      </c>
      <c r="D30" s="1" t="s">
        <v>794</v>
      </c>
      <c r="E30" s="1">
        <v>1078135521</v>
      </c>
      <c r="F30" s="3" t="s">
        <v>726</v>
      </c>
      <c r="G30" s="47">
        <v>0.14000000000000001</v>
      </c>
      <c r="H30" s="48">
        <v>7.0000000000000007E-2</v>
      </c>
      <c r="I30" s="1" t="s">
        <v>788</v>
      </c>
      <c r="J30" s="1" t="s">
        <v>788</v>
      </c>
      <c r="K30" s="1" t="s">
        <v>792</v>
      </c>
    </row>
    <row r="31" spans="1:11" x14ac:dyDescent="0.3">
      <c r="A31" s="2"/>
      <c r="B31" s="1">
        <v>4400</v>
      </c>
      <c r="C31" s="1" t="s">
        <v>813</v>
      </c>
      <c r="D31" s="1" t="s">
        <v>787</v>
      </c>
      <c r="E31" s="1">
        <v>1005700956</v>
      </c>
      <c r="F31" s="3" t="s">
        <v>724</v>
      </c>
      <c r="G31" s="47">
        <v>0.41000000000000003</v>
      </c>
      <c r="H31" s="48">
        <v>0.05</v>
      </c>
      <c r="I31" s="1" t="s">
        <v>788</v>
      </c>
      <c r="J31" s="1" t="s">
        <v>789</v>
      </c>
      <c r="K31" s="1" t="s">
        <v>788</v>
      </c>
    </row>
    <row r="32" spans="1:11" x14ac:dyDescent="0.3">
      <c r="A32" s="2"/>
      <c r="B32" s="1">
        <v>8991</v>
      </c>
      <c r="C32" s="1" t="s">
        <v>814</v>
      </c>
      <c r="D32" s="1" t="s">
        <v>796</v>
      </c>
      <c r="E32" s="1">
        <v>1203026420</v>
      </c>
      <c r="F32" s="3" t="s">
        <v>724</v>
      </c>
      <c r="G32" s="47">
        <v>0.37</v>
      </c>
      <c r="H32" s="48">
        <v>0.03</v>
      </c>
      <c r="I32" s="1" t="s">
        <v>788</v>
      </c>
      <c r="J32" s="1" t="s">
        <v>788</v>
      </c>
      <c r="K32" s="1" t="s">
        <v>789</v>
      </c>
    </row>
    <row r="33" spans="1:11" x14ac:dyDescent="0.3">
      <c r="A33" s="2"/>
      <c r="B33" s="1">
        <v>2165</v>
      </c>
      <c r="C33" s="1" t="s">
        <v>815</v>
      </c>
      <c r="D33" s="1" t="s">
        <v>794</v>
      </c>
      <c r="E33" s="1">
        <v>1041891625</v>
      </c>
      <c r="F33" s="3" t="s">
        <v>724</v>
      </c>
      <c r="G33" s="47">
        <v>0.26</v>
      </c>
      <c r="H33" s="48">
        <v>0.01</v>
      </c>
      <c r="I33" s="1"/>
      <c r="J33" s="1" t="s">
        <v>788</v>
      </c>
      <c r="K33" s="1" t="s">
        <v>788</v>
      </c>
    </row>
    <row r="34" spans="1:11" x14ac:dyDescent="0.3">
      <c r="A34" s="2"/>
      <c r="B34" s="1">
        <v>3719</v>
      </c>
      <c r="C34" s="1" t="s">
        <v>816</v>
      </c>
      <c r="D34" s="1" t="s">
        <v>796</v>
      </c>
      <c r="E34" s="1">
        <v>1241242953</v>
      </c>
      <c r="F34" s="3" t="s">
        <v>726</v>
      </c>
      <c r="G34" s="47">
        <v>0.91</v>
      </c>
      <c r="H34" s="48">
        <v>0.08</v>
      </c>
      <c r="I34" s="1" t="s">
        <v>788</v>
      </c>
      <c r="J34" s="1" t="s">
        <v>788</v>
      </c>
      <c r="K34" s="1" t="s">
        <v>792</v>
      </c>
    </row>
    <row r="35" spans="1:11" x14ac:dyDescent="0.3">
      <c r="A35" s="2"/>
      <c r="B35" s="1">
        <v>3389</v>
      </c>
      <c r="C35" s="1" t="s">
        <v>817</v>
      </c>
      <c r="D35" s="1" t="s">
        <v>796</v>
      </c>
      <c r="E35" s="1">
        <v>1109407690</v>
      </c>
      <c r="F35" s="3" t="s">
        <v>726</v>
      </c>
      <c r="G35" s="47">
        <v>0.91</v>
      </c>
      <c r="H35" s="48">
        <v>0.08</v>
      </c>
      <c r="I35" s="1" t="s">
        <v>788</v>
      </c>
      <c r="J35" s="1" t="s">
        <v>788</v>
      </c>
      <c r="K35" s="1" t="s">
        <v>792</v>
      </c>
    </row>
    <row r="36" spans="1:11" x14ac:dyDescent="0.3">
      <c r="A36" s="2"/>
      <c r="B36" s="1">
        <v>6080</v>
      </c>
      <c r="C36" s="1" t="s">
        <v>818</v>
      </c>
      <c r="D36" s="1" t="s">
        <v>796</v>
      </c>
      <c r="E36" s="1">
        <v>1175219344</v>
      </c>
      <c r="F36" s="3" t="s">
        <v>726</v>
      </c>
      <c r="G36" s="47">
        <v>0.08</v>
      </c>
      <c r="H36" s="48">
        <v>0.01</v>
      </c>
      <c r="I36" s="1" t="s">
        <v>788</v>
      </c>
      <c r="J36" s="1" t="s">
        <v>788</v>
      </c>
      <c r="K36" s="1" t="s">
        <v>792</v>
      </c>
    </row>
    <row r="37" spans="1:11" x14ac:dyDescent="0.3">
      <c r="A37" s="2"/>
      <c r="B37" s="1">
        <v>8889</v>
      </c>
      <c r="C37" s="1" t="s">
        <v>819</v>
      </c>
      <c r="D37" s="1" t="s">
        <v>791</v>
      </c>
      <c r="E37" s="1">
        <v>1049795052</v>
      </c>
      <c r="F37" s="3" t="s">
        <v>726</v>
      </c>
      <c r="G37" s="47">
        <v>0.22</v>
      </c>
      <c r="H37" s="48">
        <v>0.04</v>
      </c>
      <c r="I37" s="1" t="s">
        <v>788</v>
      </c>
      <c r="J37" s="1" t="s">
        <v>788</v>
      </c>
      <c r="K37" s="1" t="s">
        <v>792</v>
      </c>
    </row>
    <row r="38" spans="1:11" x14ac:dyDescent="0.3">
      <c r="A38" s="2"/>
      <c r="B38" s="1">
        <v>4559</v>
      </c>
      <c r="C38" s="1" t="s">
        <v>820</v>
      </c>
      <c r="D38" s="1" t="s">
        <v>787</v>
      </c>
      <c r="E38" s="1">
        <v>1227262302</v>
      </c>
      <c r="F38" s="3" t="s">
        <v>724</v>
      </c>
      <c r="G38" s="47">
        <v>0.94000000000000006</v>
      </c>
      <c r="H38" s="48">
        <v>0</v>
      </c>
      <c r="I38" s="1" t="s">
        <v>788</v>
      </c>
      <c r="J38" s="1" t="s">
        <v>789</v>
      </c>
      <c r="K38" s="1" t="s">
        <v>789</v>
      </c>
    </row>
    <row r="39" spans="1:11" x14ac:dyDescent="0.3">
      <c r="A39" s="2"/>
      <c r="B39" s="1">
        <v>4384</v>
      </c>
      <c r="C39" s="1" t="s">
        <v>821</v>
      </c>
      <c r="D39" s="1" t="s">
        <v>798</v>
      </c>
      <c r="E39" s="1">
        <v>1039512242</v>
      </c>
      <c r="F39" s="3" t="s">
        <v>726</v>
      </c>
      <c r="G39" s="47">
        <v>0.32</v>
      </c>
      <c r="H39" s="48">
        <v>0.05</v>
      </c>
      <c r="I39" s="1" t="s">
        <v>788</v>
      </c>
      <c r="J39" s="1" t="s">
        <v>788</v>
      </c>
      <c r="K39" s="1" t="s">
        <v>792</v>
      </c>
    </row>
    <row r="40" spans="1:11" x14ac:dyDescent="0.3">
      <c r="A40" s="2"/>
      <c r="B40" s="1">
        <v>9587</v>
      </c>
      <c r="C40" s="1" t="s">
        <v>822</v>
      </c>
      <c r="D40" s="1" t="s">
        <v>794</v>
      </c>
      <c r="E40" s="1">
        <v>1161862060</v>
      </c>
      <c r="F40" s="3" t="s">
        <v>724</v>
      </c>
      <c r="G40" s="47">
        <v>0.03</v>
      </c>
      <c r="H40" s="48">
        <v>0.03</v>
      </c>
      <c r="I40" s="1" t="s">
        <v>789</v>
      </c>
      <c r="J40" s="1" t="s">
        <v>788</v>
      </c>
      <c r="K40" s="1" t="s">
        <v>788</v>
      </c>
    </row>
    <row r="41" spans="1:11" x14ac:dyDescent="0.3">
      <c r="A41" s="2"/>
      <c r="B41" s="1">
        <v>9669</v>
      </c>
      <c r="C41" s="1" t="s">
        <v>823</v>
      </c>
      <c r="D41" s="1" t="s">
        <v>787</v>
      </c>
      <c r="E41" s="1">
        <v>1069679084</v>
      </c>
      <c r="F41" s="3" t="s">
        <v>724</v>
      </c>
      <c r="G41" s="47">
        <v>0.73</v>
      </c>
      <c r="H41" s="48">
        <v>0.06</v>
      </c>
      <c r="I41" s="50" t="s">
        <v>788</v>
      </c>
      <c r="J41" s="1" t="s">
        <v>788</v>
      </c>
      <c r="K41" s="1" t="s">
        <v>788</v>
      </c>
    </row>
    <row r="42" spans="1:11" x14ac:dyDescent="0.3">
      <c r="A42" s="2"/>
      <c r="B42" s="1">
        <v>5458</v>
      </c>
      <c r="C42" s="1" t="s">
        <v>824</v>
      </c>
      <c r="D42" s="1" t="s">
        <v>798</v>
      </c>
      <c r="E42" s="1">
        <v>1023316861</v>
      </c>
      <c r="F42" s="3" t="s">
        <v>726</v>
      </c>
      <c r="G42" s="47">
        <v>0.63</v>
      </c>
      <c r="H42" s="48">
        <v>0.01</v>
      </c>
      <c r="I42" s="1" t="s">
        <v>788</v>
      </c>
      <c r="J42" s="1" t="s">
        <v>788</v>
      </c>
      <c r="K42" s="1" t="s">
        <v>792</v>
      </c>
    </row>
    <row r="43" spans="1:11" x14ac:dyDescent="0.3">
      <c r="A43" s="2"/>
      <c r="B43" s="1">
        <v>9907</v>
      </c>
      <c r="C43" s="1" t="s">
        <v>825</v>
      </c>
      <c r="D43" s="1" t="s">
        <v>791</v>
      </c>
      <c r="E43" s="1">
        <v>1069784062</v>
      </c>
      <c r="F43" s="3" t="s">
        <v>724</v>
      </c>
      <c r="G43" s="47">
        <v>0.2</v>
      </c>
      <c r="H43" s="48">
        <v>0.09</v>
      </c>
      <c r="I43" s="1"/>
      <c r="J43" s="1" t="s">
        <v>788</v>
      </c>
      <c r="K43" s="1" t="s">
        <v>788</v>
      </c>
    </row>
    <row r="44" spans="1:11" x14ac:dyDescent="0.3">
      <c r="A44" s="2"/>
      <c r="B44" s="1">
        <v>7793</v>
      </c>
      <c r="C44" s="1" t="s">
        <v>826</v>
      </c>
      <c r="D44" s="1" t="s">
        <v>796</v>
      </c>
      <c r="E44" s="1">
        <v>1162181595</v>
      </c>
      <c r="F44" s="3" t="s">
        <v>726</v>
      </c>
      <c r="G44" s="47">
        <v>0.45</v>
      </c>
      <c r="H44" s="48">
        <v>0.08</v>
      </c>
      <c r="I44" s="1" t="s">
        <v>788</v>
      </c>
      <c r="J44" s="1" t="s">
        <v>788</v>
      </c>
      <c r="K44" s="1" t="s">
        <v>792</v>
      </c>
    </row>
    <row r="45" spans="1:11" x14ac:dyDescent="0.3">
      <c r="A45" s="2"/>
      <c r="B45" s="1">
        <v>6962</v>
      </c>
      <c r="C45" s="1" t="s">
        <v>827</v>
      </c>
      <c r="D45" s="1" t="s">
        <v>791</v>
      </c>
      <c r="E45" s="1">
        <v>1208553470</v>
      </c>
      <c r="F45" s="3" t="s">
        <v>726</v>
      </c>
      <c r="G45" s="47">
        <v>0.62</v>
      </c>
      <c r="H45" s="48">
        <v>0.02</v>
      </c>
      <c r="I45" s="1" t="s">
        <v>788</v>
      </c>
      <c r="J45" s="1" t="s">
        <v>789</v>
      </c>
      <c r="K45" s="1" t="s">
        <v>792</v>
      </c>
    </row>
    <row r="46" spans="1:11" x14ac:dyDescent="0.3">
      <c r="A46" s="2"/>
      <c r="B46" s="1">
        <v>7108</v>
      </c>
      <c r="C46" s="1" t="s">
        <v>828</v>
      </c>
      <c r="D46" s="1" t="s">
        <v>796</v>
      </c>
      <c r="E46" s="1">
        <v>1219222614</v>
      </c>
      <c r="F46" s="3" t="s">
        <v>726</v>
      </c>
      <c r="G46" s="47">
        <v>0.91</v>
      </c>
      <c r="H46" s="48">
        <v>0.06</v>
      </c>
      <c r="I46" s="1" t="s">
        <v>788</v>
      </c>
      <c r="J46" s="1" t="s">
        <v>788</v>
      </c>
      <c r="K46" s="1" t="s">
        <v>792</v>
      </c>
    </row>
    <row r="47" spans="1:11" x14ac:dyDescent="0.3">
      <c r="A47" s="2"/>
      <c r="B47" s="1">
        <v>4095</v>
      </c>
      <c r="C47" s="1" t="s">
        <v>829</v>
      </c>
      <c r="D47" s="1" t="s">
        <v>798</v>
      </c>
      <c r="E47" s="1">
        <v>1200209715</v>
      </c>
      <c r="F47" s="3" t="s">
        <v>726</v>
      </c>
      <c r="G47" s="47">
        <v>0.66</v>
      </c>
      <c r="H47" s="48">
        <v>0.02</v>
      </c>
      <c r="I47" s="1" t="s">
        <v>788</v>
      </c>
      <c r="J47" s="1" t="s">
        <v>788</v>
      </c>
      <c r="K47" s="1" t="s">
        <v>792</v>
      </c>
    </row>
    <row r="48" spans="1:11" x14ac:dyDescent="0.3">
      <c r="A48" s="2"/>
      <c r="B48" s="1">
        <v>8385</v>
      </c>
      <c r="C48" s="1" t="s">
        <v>830</v>
      </c>
      <c r="D48" s="1" t="s">
        <v>798</v>
      </c>
      <c r="E48" s="1">
        <v>1170109748</v>
      </c>
      <c r="F48" s="3" t="s">
        <v>726</v>
      </c>
      <c r="G48" s="47">
        <v>0.6</v>
      </c>
      <c r="H48" s="48">
        <v>0.09</v>
      </c>
      <c r="I48" s="1" t="s">
        <v>789</v>
      </c>
      <c r="J48" s="1" t="s">
        <v>789</v>
      </c>
      <c r="K48" s="1" t="s">
        <v>792</v>
      </c>
    </row>
    <row r="49" spans="1:11" x14ac:dyDescent="0.3">
      <c r="A49" s="2"/>
      <c r="B49" s="1">
        <v>2248</v>
      </c>
      <c r="C49" s="1" t="s">
        <v>831</v>
      </c>
      <c r="D49" s="1" t="s">
        <v>794</v>
      </c>
      <c r="E49" s="1">
        <v>1061618598</v>
      </c>
      <c r="F49" s="3" t="s">
        <v>724</v>
      </c>
      <c r="G49" s="47">
        <v>0.62</v>
      </c>
      <c r="H49" s="48">
        <v>0.08</v>
      </c>
      <c r="I49" s="1" t="s">
        <v>788</v>
      </c>
      <c r="J49" s="1" t="s">
        <v>788</v>
      </c>
      <c r="K49" s="1" t="s">
        <v>788</v>
      </c>
    </row>
    <row r="50" spans="1:11" x14ac:dyDescent="0.3">
      <c r="A50" s="2"/>
      <c r="B50" s="1">
        <v>9927</v>
      </c>
      <c r="C50" s="1" t="s">
        <v>832</v>
      </c>
      <c r="D50" s="1" t="s">
        <v>787</v>
      </c>
      <c r="E50" s="1">
        <v>1043602094</v>
      </c>
      <c r="F50" s="3" t="s">
        <v>724</v>
      </c>
      <c r="G50" s="47">
        <v>0.23</v>
      </c>
      <c r="H50" s="48">
        <v>0.04</v>
      </c>
      <c r="I50" s="1" t="s">
        <v>788</v>
      </c>
      <c r="J50" s="1" t="s">
        <v>788</v>
      </c>
      <c r="K50" s="1" t="s">
        <v>788</v>
      </c>
    </row>
    <row r="51" spans="1:11" x14ac:dyDescent="0.3">
      <c r="A51" s="2"/>
      <c r="B51" s="1">
        <v>7803</v>
      </c>
      <c r="C51" s="1" t="s">
        <v>833</v>
      </c>
      <c r="D51" s="1" t="s">
        <v>791</v>
      </c>
      <c r="E51" s="1">
        <v>1166360771</v>
      </c>
      <c r="F51" s="3" t="s">
        <v>724</v>
      </c>
      <c r="G51" s="47">
        <v>0.98</v>
      </c>
      <c r="H51" s="48">
        <v>0.09</v>
      </c>
      <c r="I51" s="1" t="s">
        <v>788</v>
      </c>
      <c r="J51" s="1" t="s">
        <v>788</v>
      </c>
      <c r="K51" s="1" t="s">
        <v>788</v>
      </c>
    </row>
    <row r="52" spans="1:11" x14ac:dyDescent="0.3">
      <c r="A52" s="2"/>
      <c r="B52" s="1">
        <v>6970</v>
      </c>
      <c r="C52" s="1" t="s">
        <v>834</v>
      </c>
      <c r="D52" s="1" t="s">
        <v>787</v>
      </c>
      <c r="E52" s="1">
        <v>1036344722</v>
      </c>
      <c r="F52" s="3" t="s">
        <v>726</v>
      </c>
      <c r="G52" s="47">
        <v>0.32</v>
      </c>
      <c r="H52" s="48">
        <v>0.06</v>
      </c>
      <c r="I52" s="1" t="s">
        <v>788</v>
      </c>
      <c r="J52" s="1" t="s">
        <v>788</v>
      </c>
      <c r="K52" s="1" t="s">
        <v>792</v>
      </c>
    </row>
    <row r="53" spans="1:11" x14ac:dyDescent="0.3">
      <c r="A53" s="2"/>
      <c r="B53" s="1">
        <v>3104</v>
      </c>
      <c r="C53" s="1" t="s">
        <v>835</v>
      </c>
      <c r="D53" s="1" t="s">
        <v>798</v>
      </c>
      <c r="E53" s="1">
        <v>1070534414</v>
      </c>
      <c r="F53" s="3" t="s">
        <v>724</v>
      </c>
      <c r="G53" s="47">
        <v>0.16</v>
      </c>
      <c r="H53" s="48">
        <v>0.02</v>
      </c>
      <c r="I53" s="1" t="s">
        <v>789</v>
      </c>
      <c r="J53" s="1" t="s">
        <v>788</v>
      </c>
      <c r="K53" s="1" t="s">
        <v>789</v>
      </c>
    </row>
    <row r="54" spans="1:11" x14ac:dyDescent="0.3">
      <c r="A54" s="2"/>
      <c r="B54" s="1">
        <v>2551</v>
      </c>
      <c r="C54" s="1" t="s">
        <v>836</v>
      </c>
      <c r="D54" s="1" t="s">
        <v>787</v>
      </c>
      <c r="E54" s="1">
        <v>1123266581</v>
      </c>
      <c r="F54" s="3" t="s">
        <v>726</v>
      </c>
      <c r="G54" s="47">
        <v>0.92</v>
      </c>
      <c r="H54" s="48">
        <v>0.08</v>
      </c>
      <c r="I54" s="1" t="s">
        <v>789</v>
      </c>
      <c r="J54" s="1" t="s">
        <v>788</v>
      </c>
      <c r="K54" s="1" t="s">
        <v>792</v>
      </c>
    </row>
    <row r="55" spans="1:11" x14ac:dyDescent="0.3">
      <c r="A55" s="2"/>
      <c r="B55" s="1">
        <v>6742</v>
      </c>
      <c r="C55" s="1" t="s">
        <v>837</v>
      </c>
      <c r="D55" s="1" t="s">
        <v>796</v>
      </c>
      <c r="E55" s="1">
        <v>1087280576</v>
      </c>
      <c r="F55" s="3" t="s">
        <v>724</v>
      </c>
      <c r="G55" s="47">
        <v>0.8</v>
      </c>
      <c r="H55" s="48">
        <v>0.03</v>
      </c>
      <c r="I55" s="1" t="s">
        <v>788</v>
      </c>
      <c r="J55" s="1"/>
      <c r="K55" s="1" t="s">
        <v>788</v>
      </c>
    </row>
    <row r="56" spans="1:11" x14ac:dyDescent="0.3">
      <c r="A56" s="2"/>
      <c r="B56" s="1">
        <v>9666</v>
      </c>
      <c r="C56" s="1" t="s">
        <v>838</v>
      </c>
      <c r="D56" s="1" t="s">
        <v>791</v>
      </c>
      <c r="E56" s="1">
        <v>1186927685</v>
      </c>
      <c r="F56" s="3" t="s">
        <v>724</v>
      </c>
      <c r="G56" s="47">
        <v>0.83000000000000007</v>
      </c>
      <c r="H56" s="48">
        <v>7.0000000000000007E-2</v>
      </c>
      <c r="I56" s="1"/>
      <c r="J56" s="1" t="s">
        <v>789</v>
      </c>
      <c r="K56" s="1" t="s">
        <v>788</v>
      </c>
    </row>
    <row r="57" spans="1:11" x14ac:dyDescent="0.3">
      <c r="A57" s="2"/>
      <c r="B57" s="1">
        <v>6563</v>
      </c>
      <c r="C57" s="1" t="s">
        <v>839</v>
      </c>
      <c r="D57" s="1" t="s">
        <v>798</v>
      </c>
      <c r="E57" s="1">
        <v>1056302715</v>
      </c>
      <c r="F57" s="3" t="s">
        <v>726</v>
      </c>
      <c r="G57" s="47">
        <v>0.8</v>
      </c>
      <c r="H57" s="48">
        <v>0.09</v>
      </c>
      <c r="I57" s="1" t="s">
        <v>789</v>
      </c>
      <c r="J57" s="1" t="s">
        <v>788</v>
      </c>
      <c r="K57" s="1" t="s">
        <v>792</v>
      </c>
    </row>
    <row r="58" spans="1:11" x14ac:dyDescent="0.3">
      <c r="A58" s="2"/>
      <c r="B58" s="1">
        <v>6767</v>
      </c>
      <c r="C58" s="1" t="s">
        <v>840</v>
      </c>
      <c r="D58" s="1" t="s">
        <v>794</v>
      </c>
      <c r="E58" s="1">
        <v>1202423234</v>
      </c>
      <c r="F58" s="3" t="s">
        <v>726</v>
      </c>
      <c r="G58" s="47">
        <v>0.53</v>
      </c>
      <c r="H58" s="48">
        <v>0.05</v>
      </c>
      <c r="I58" s="1" t="s">
        <v>788</v>
      </c>
      <c r="J58" s="1" t="s">
        <v>788</v>
      </c>
      <c r="K58" s="1" t="s">
        <v>792</v>
      </c>
    </row>
    <row r="59" spans="1:11" x14ac:dyDescent="0.3">
      <c r="A59" s="2"/>
      <c r="B59" s="1">
        <v>6191</v>
      </c>
      <c r="C59" s="1" t="s">
        <v>841</v>
      </c>
      <c r="D59" s="1" t="s">
        <v>787</v>
      </c>
      <c r="E59" s="1">
        <v>1165638416</v>
      </c>
      <c r="F59" s="3" t="s">
        <v>726</v>
      </c>
      <c r="G59" s="47">
        <v>0.28000000000000003</v>
      </c>
      <c r="H59" s="48">
        <v>7.0000000000000007E-2</v>
      </c>
      <c r="I59" s="1"/>
      <c r="J59" s="1" t="s">
        <v>788</v>
      </c>
      <c r="K59" s="1" t="s">
        <v>792</v>
      </c>
    </row>
    <row r="60" spans="1:11" x14ac:dyDescent="0.3">
      <c r="A60" s="2"/>
      <c r="B60" s="1">
        <v>7161</v>
      </c>
      <c r="C60" s="1" t="s">
        <v>842</v>
      </c>
      <c r="D60" s="1" t="s">
        <v>791</v>
      </c>
      <c r="E60" s="1">
        <v>1036609170</v>
      </c>
      <c r="F60" s="3" t="s">
        <v>726</v>
      </c>
      <c r="G60" s="47">
        <v>0.99</v>
      </c>
      <c r="H60" s="48">
        <v>0</v>
      </c>
      <c r="I60" s="1" t="s">
        <v>788</v>
      </c>
      <c r="J60" s="1"/>
      <c r="K60" s="1" t="s">
        <v>792</v>
      </c>
    </row>
    <row r="61" spans="1:11" x14ac:dyDescent="0.3">
      <c r="A61" s="4"/>
      <c r="B61" s="5">
        <v>9101</v>
      </c>
      <c r="C61" s="5" t="s">
        <v>843</v>
      </c>
      <c r="D61" s="5" t="s">
        <v>796</v>
      </c>
      <c r="E61" s="5">
        <v>1033399112</v>
      </c>
      <c r="F61" s="6" t="s">
        <v>726</v>
      </c>
      <c r="G61" s="47">
        <v>0.57999999999999996</v>
      </c>
      <c r="H61" s="48">
        <v>0.08</v>
      </c>
      <c r="I61" s="1" t="s">
        <v>788</v>
      </c>
      <c r="J61" s="1" t="s">
        <v>788</v>
      </c>
      <c r="K61" s="1" t="s">
        <v>792</v>
      </c>
    </row>
  </sheetData>
  <autoFilter ref="G9:K61" xr:uid="{E7F52741-AFC7-45D9-9561-6D98FA3333FE}">
    <filterColumn colId="0" showButton="0"/>
    <filterColumn colId="2" showButton="0"/>
    <filterColumn colId="3" showButton="0"/>
  </autoFilter>
  <mergeCells count="4">
    <mergeCell ref="A9:H10"/>
    <mergeCell ref="I9:K10"/>
    <mergeCell ref="E6:E7"/>
    <mergeCell ref="B2:C7"/>
  </mergeCells>
  <conditionalFormatting sqref="G12:G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A269-CAA5-4F45-A625-3D2C644011EF}">
  <dimension ref="A1:H21"/>
  <sheetViews>
    <sheetView workbookViewId="0">
      <selection activeCell="H13" sqref="H13"/>
    </sheetView>
  </sheetViews>
  <sheetFormatPr defaultColWidth="8.77734375" defaultRowHeight="14.4" x14ac:dyDescent="0.3"/>
  <cols>
    <col min="1" max="1" width="15.5546875" style="7" bestFit="1" customWidth="1"/>
    <col min="2" max="2" width="18.21875" style="7" bestFit="1" customWidth="1"/>
    <col min="3" max="3" width="8.44140625" style="7" bestFit="1" customWidth="1"/>
    <col min="4" max="7" width="8.77734375" style="7"/>
    <col min="8" max="8" width="37.77734375" style="7" bestFit="1" customWidth="1"/>
    <col min="9" max="16384" width="8.77734375" style="7"/>
  </cols>
  <sheetData>
    <row r="1" spans="1:8" x14ac:dyDescent="0.3">
      <c r="A1" s="53" t="s">
        <v>844</v>
      </c>
      <c r="B1" s="53" t="s">
        <v>845</v>
      </c>
      <c r="C1" s="53" t="s">
        <v>846</v>
      </c>
    </row>
    <row r="2" spans="1:8" x14ac:dyDescent="0.3">
      <c r="A2" s="8" t="s">
        <v>847</v>
      </c>
      <c r="B2" s="8" t="s">
        <v>848</v>
      </c>
      <c r="C2" s="51">
        <v>0.85</v>
      </c>
      <c r="H2" s="36" t="s">
        <v>849</v>
      </c>
    </row>
    <row r="3" spans="1:8" x14ac:dyDescent="0.3">
      <c r="A3" s="8" t="s">
        <v>850</v>
      </c>
      <c r="B3" s="8" t="s">
        <v>851</v>
      </c>
      <c r="C3" s="51">
        <v>0.72</v>
      </c>
      <c r="H3" s="52">
        <f>COUNTIF(B2:B21,"*Maadi*")</f>
        <v>6</v>
      </c>
    </row>
    <row r="4" spans="1:8" x14ac:dyDescent="0.3">
      <c r="A4" s="8" t="s">
        <v>852</v>
      </c>
      <c r="B4" s="8" t="s">
        <v>853</v>
      </c>
      <c r="C4" s="51">
        <v>0.9</v>
      </c>
    </row>
    <row r="5" spans="1:8" x14ac:dyDescent="0.3">
      <c r="A5" s="8" t="s">
        <v>854</v>
      </c>
      <c r="B5" s="8" t="s">
        <v>848</v>
      </c>
      <c r="C5" s="51">
        <v>0.67</v>
      </c>
      <c r="H5" s="36" t="s">
        <v>855</v>
      </c>
    </row>
    <row r="6" spans="1:8" x14ac:dyDescent="0.3">
      <c r="A6" s="8" t="s">
        <v>856</v>
      </c>
      <c r="B6" s="8" t="s">
        <v>851</v>
      </c>
      <c r="C6" s="51">
        <v>0.75</v>
      </c>
      <c r="H6" s="52">
        <f>COUNTIF(A2:A21,"*Ayman*")</f>
        <v>4</v>
      </c>
    </row>
    <row r="7" spans="1:8" x14ac:dyDescent="0.3">
      <c r="A7" s="8" t="s">
        <v>857</v>
      </c>
      <c r="B7" s="8" t="s">
        <v>858</v>
      </c>
      <c r="C7" s="51">
        <v>0.88</v>
      </c>
    </row>
    <row r="8" spans="1:8" x14ac:dyDescent="0.3">
      <c r="A8" s="8" t="s">
        <v>859</v>
      </c>
      <c r="B8" s="8" t="s">
        <v>848</v>
      </c>
      <c r="C8" s="51">
        <v>0.95</v>
      </c>
      <c r="H8" s="36" t="s">
        <v>860</v>
      </c>
    </row>
    <row r="9" spans="1:8" x14ac:dyDescent="0.3">
      <c r="A9" s="8" t="s">
        <v>861</v>
      </c>
      <c r="B9" s="8" t="s">
        <v>862</v>
      </c>
      <c r="C9" s="51">
        <v>0.6</v>
      </c>
      <c r="H9" s="52">
        <f>COUNTIF(B2:B21,"*Cairo*")</f>
        <v>13</v>
      </c>
    </row>
    <row r="10" spans="1:8" x14ac:dyDescent="0.3">
      <c r="A10" s="8" t="s">
        <v>863</v>
      </c>
      <c r="B10" s="8" t="s">
        <v>851</v>
      </c>
      <c r="C10" s="51">
        <v>0.8</v>
      </c>
    </row>
    <row r="11" spans="1:8" x14ac:dyDescent="0.3">
      <c r="A11" s="8" t="s">
        <v>864</v>
      </c>
      <c r="B11" s="8" t="s">
        <v>865</v>
      </c>
      <c r="C11" s="51">
        <v>0.78</v>
      </c>
      <c r="H11" s="36" t="s">
        <v>866</v>
      </c>
    </row>
    <row r="12" spans="1:8" x14ac:dyDescent="0.3">
      <c r="A12" s="8" t="s">
        <v>867</v>
      </c>
      <c r="B12" s="8" t="s">
        <v>848</v>
      </c>
      <c r="C12" s="51">
        <v>0.82</v>
      </c>
      <c r="H12" s="52">
        <f>COUNTIF(A2:A21,"M*")</f>
        <v>4</v>
      </c>
    </row>
    <row r="13" spans="1:8" x14ac:dyDescent="0.3">
      <c r="A13" s="8" t="s">
        <v>868</v>
      </c>
      <c r="B13" s="8" t="s">
        <v>851</v>
      </c>
      <c r="C13" s="51">
        <v>0.69</v>
      </c>
    </row>
    <row r="14" spans="1:8" x14ac:dyDescent="0.3">
      <c r="A14" s="8" t="s">
        <v>869</v>
      </c>
      <c r="B14" s="8" t="s">
        <v>858</v>
      </c>
      <c r="C14" s="51">
        <v>0.74</v>
      </c>
    </row>
    <row r="15" spans="1:8" x14ac:dyDescent="0.3">
      <c r="A15" s="8" t="s">
        <v>870</v>
      </c>
      <c r="B15" s="8" t="s">
        <v>871</v>
      </c>
      <c r="C15" s="51">
        <v>0.93</v>
      </c>
    </row>
    <row r="16" spans="1:8" x14ac:dyDescent="0.3">
      <c r="A16" s="8" t="s">
        <v>872</v>
      </c>
      <c r="B16" s="8" t="s">
        <v>848</v>
      </c>
      <c r="C16" s="51">
        <v>0.7</v>
      </c>
    </row>
    <row r="17" spans="1:3" x14ac:dyDescent="0.3">
      <c r="A17" s="8" t="s">
        <v>873</v>
      </c>
      <c r="B17" s="8" t="s">
        <v>862</v>
      </c>
      <c r="C17" s="51">
        <v>0.64</v>
      </c>
    </row>
    <row r="18" spans="1:3" x14ac:dyDescent="0.3">
      <c r="A18" s="8" t="s">
        <v>874</v>
      </c>
      <c r="B18" s="8" t="s">
        <v>851</v>
      </c>
      <c r="C18" s="51">
        <v>0.87</v>
      </c>
    </row>
    <row r="19" spans="1:3" x14ac:dyDescent="0.3">
      <c r="A19" s="8" t="s">
        <v>875</v>
      </c>
      <c r="B19" s="8" t="s">
        <v>848</v>
      </c>
      <c r="C19" s="51">
        <v>0.91</v>
      </c>
    </row>
    <row r="20" spans="1:3" x14ac:dyDescent="0.3">
      <c r="A20" s="8" t="s">
        <v>876</v>
      </c>
      <c r="B20" s="8" t="s">
        <v>853</v>
      </c>
      <c r="C20" s="51">
        <v>0.89</v>
      </c>
    </row>
    <row r="21" spans="1:3" x14ac:dyDescent="0.3">
      <c r="A21" s="8" t="s">
        <v>877</v>
      </c>
      <c r="B21" s="8" t="s">
        <v>858</v>
      </c>
      <c r="C21" s="51">
        <v>0.77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44F3-4180-452E-B6F4-177F38596A24}">
  <dimension ref="A1:O51"/>
  <sheetViews>
    <sheetView workbookViewId="0">
      <selection activeCell="P11" sqref="P11"/>
    </sheetView>
  </sheetViews>
  <sheetFormatPr defaultRowHeight="14.4" x14ac:dyDescent="0.3"/>
  <cols>
    <col min="1" max="1" width="5.5546875" bestFit="1" customWidth="1"/>
    <col min="2" max="2" width="5.21875" bestFit="1" customWidth="1"/>
    <col min="3" max="3" width="16.5546875" bestFit="1" customWidth="1"/>
    <col min="4" max="4" width="10.21875" bestFit="1" customWidth="1"/>
    <col min="5" max="5" width="6.77734375" bestFit="1" customWidth="1"/>
    <col min="6" max="6" width="4.77734375" bestFit="1" customWidth="1"/>
    <col min="7" max="7" width="3.77734375" bestFit="1" customWidth="1"/>
    <col min="8" max="8" width="11.77734375" bestFit="1" customWidth="1"/>
    <col min="9" max="9" width="18" bestFit="1" customWidth="1"/>
    <col min="10" max="10" width="9.21875" bestFit="1" customWidth="1"/>
    <col min="14" max="14" width="10.21875" bestFit="1" customWidth="1"/>
  </cols>
  <sheetData>
    <row r="1" spans="1:15" x14ac:dyDescent="0.3">
      <c r="A1" s="27" t="s">
        <v>717</v>
      </c>
      <c r="B1" s="27" t="s">
        <v>718</v>
      </c>
      <c r="C1" s="27" t="s">
        <v>778</v>
      </c>
      <c r="D1" s="27" t="s">
        <v>779</v>
      </c>
      <c r="E1" s="27" t="s">
        <v>720</v>
      </c>
      <c r="F1" s="43" t="s">
        <v>781</v>
      </c>
      <c r="G1" s="43" t="s">
        <v>782</v>
      </c>
      <c r="H1" s="27" t="s">
        <v>878</v>
      </c>
      <c r="I1" s="27" t="s">
        <v>879</v>
      </c>
      <c r="J1" s="56" t="s">
        <v>71</v>
      </c>
    </row>
    <row r="2" spans="1:15" x14ac:dyDescent="0.3">
      <c r="A2" s="1">
        <v>1</v>
      </c>
      <c r="B2" s="1">
        <v>9399</v>
      </c>
      <c r="C2" s="57" t="s">
        <v>786</v>
      </c>
      <c r="D2" s="1" t="s">
        <v>787</v>
      </c>
      <c r="E2" s="1" t="s">
        <v>724</v>
      </c>
      <c r="F2" s="58">
        <v>0.61</v>
      </c>
      <c r="G2" s="58">
        <v>0.08</v>
      </c>
      <c r="H2" s="1">
        <v>100</v>
      </c>
      <c r="I2" s="55">
        <v>100</v>
      </c>
      <c r="J2" s="59">
        <f>SUM(H2:I2)</f>
        <v>200</v>
      </c>
      <c r="N2" s="60" t="s">
        <v>779</v>
      </c>
      <c r="O2" s="60" t="s">
        <v>880</v>
      </c>
    </row>
    <row r="3" spans="1:15" x14ac:dyDescent="0.3">
      <c r="A3" s="1">
        <v>2</v>
      </c>
      <c r="B3" s="1">
        <v>5394</v>
      </c>
      <c r="C3" s="57" t="s">
        <v>790</v>
      </c>
      <c r="D3" s="1" t="s">
        <v>791</v>
      </c>
      <c r="E3" s="1" t="s">
        <v>726</v>
      </c>
      <c r="F3" s="58">
        <v>0.13</v>
      </c>
      <c r="G3" s="58">
        <v>0.03</v>
      </c>
      <c r="H3" s="1">
        <v>0</v>
      </c>
      <c r="I3" s="55">
        <v>0</v>
      </c>
      <c r="J3" s="59">
        <f t="shared" ref="J3:J51" si="0">SUM(H3:I3)</f>
        <v>0</v>
      </c>
      <c r="N3" s="1" t="s">
        <v>787</v>
      </c>
      <c r="O3" s="16">
        <f>COUNTIF($D$2:$D$51,$N3)</f>
        <v>10</v>
      </c>
    </row>
    <row r="4" spans="1:15" x14ac:dyDescent="0.3">
      <c r="A4" s="1">
        <v>3</v>
      </c>
      <c r="B4" s="1">
        <v>2164</v>
      </c>
      <c r="C4" s="57" t="s">
        <v>793</v>
      </c>
      <c r="D4" s="1" t="s">
        <v>794</v>
      </c>
      <c r="E4" s="1" t="s">
        <v>726</v>
      </c>
      <c r="F4" s="58">
        <v>0.57999999999999996</v>
      </c>
      <c r="G4" s="58">
        <v>0.03</v>
      </c>
      <c r="H4" s="1">
        <v>100</v>
      </c>
      <c r="I4" s="55">
        <v>50</v>
      </c>
      <c r="J4" s="59">
        <f t="shared" si="0"/>
        <v>150</v>
      </c>
      <c r="N4" s="1" t="s">
        <v>791</v>
      </c>
      <c r="O4" s="16">
        <f>COUNTIF($D$2:$D$51,$N4)</f>
        <v>10</v>
      </c>
    </row>
    <row r="5" spans="1:15" x14ac:dyDescent="0.3">
      <c r="A5" s="1">
        <v>4</v>
      </c>
      <c r="B5" s="1">
        <v>6698</v>
      </c>
      <c r="C5" s="57" t="s">
        <v>795</v>
      </c>
      <c r="D5" s="1" t="s">
        <v>796</v>
      </c>
      <c r="E5" s="1" t="s">
        <v>726</v>
      </c>
      <c r="F5" s="58">
        <v>0.49</v>
      </c>
      <c r="G5" s="58">
        <v>0.05</v>
      </c>
      <c r="H5" s="1">
        <v>0</v>
      </c>
      <c r="I5" s="55">
        <v>0</v>
      </c>
      <c r="J5" s="59">
        <f t="shared" si="0"/>
        <v>0</v>
      </c>
      <c r="N5" s="1" t="s">
        <v>794</v>
      </c>
      <c r="O5" s="16">
        <f>COUNTIF($D$2:$D$51,$N5)</f>
        <v>10</v>
      </c>
    </row>
    <row r="6" spans="1:15" x14ac:dyDescent="0.3">
      <c r="A6" s="1">
        <v>5</v>
      </c>
      <c r="B6" s="1">
        <v>685</v>
      </c>
      <c r="C6" s="57" t="s">
        <v>797</v>
      </c>
      <c r="D6" s="1" t="s">
        <v>798</v>
      </c>
      <c r="E6" s="1" t="s">
        <v>724</v>
      </c>
      <c r="F6" s="58">
        <v>0.02</v>
      </c>
      <c r="G6" s="58">
        <v>0.02</v>
      </c>
      <c r="H6" s="1">
        <v>0</v>
      </c>
      <c r="I6" s="55">
        <v>100</v>
      </c>
      <c r="J6" s="59">
        <f t="shared" si="0"/>
        <v>100</v>
      </c>
      <c r="N6" s="1" t="s">
        <v>796</v>
      </c>
      <c r="O6" s="16">
        <f>COUNTIF($D$2:$D$51,$N6)</f>
        <v>10</v>
      </c>
    </row>
    <row r="7" spans="1:15" x14ac:dyDescent="0.3">
      <c r="A7" s="1">
        <v>6</v>
      </c>
      <c r="B7" s="1">
        <v>8655</v>
      </c>
      <c r="C7" s="57" t="s">
        <v>799</v>
      </c>
      <c r="D7" s="1" t="s">
        <v>794</v>
      </c>
      <c r="E7" s="1" t="s">
        <v>726</v>
      </c>
      <c r="F7" s="58">
        <v>0.14000000000000001</v>
      </c>
      <c r="G7" s="58">
        <v>0.03</v>
      </c>
      <c r="H7" s="1">
        <v>0</v>
      </c>
      <c r="I7" s="55">
        <v>0</v>
      </c>
      <c r="J7" s="59">
        <f t="shared" si="0"/>
        <v>0</v>
      </c>
      <c r="N7" s="1" t="s">
        <v>798</v>
      </c>
      <c r="O7" s="16">
        <f t="shared" ref="O7" si="1">COUNTIF($D$2:$D$51,$N7)</f>
        <v>10</v>
      </c>
    </row>
    <row r="8" spans="1:15" x14ac:dyDescent="0.3">
      <c r="A8" s="1">
        <v>7</v>
      </c>
      <c r="B8" s="1">
        <v>8083</v>
      </c>
      <c r="C8" s="57" t="s">
        <v>800</v>
      </c>
      <c r="D8" s="1" t="s">
        <v>791</v>
      </c>
      <c r="E8" s="1" t="s">
        <v>724</v>
      </c>
      <c r="F8" s="58">
        <v>0.93</v>
      </c>
      <c r="G8" s="58">
        <v>0.01</v>
      </c>
      <c r="H8" s="1">
        <v>1000</v>
      </c>
      <c r="I8" s="55">
        <v>100</v>
      </c>
      <c r="J8" s="59">
        <f t="shared" si="0"/>
        <v>1100</v>
      </c>
    </row>
    <row r="9" spans="1:15" x14ac:dyDescent="0.3">
      <c r="A9" s="1">
        <v>8</v>
      </c>
      <c r="B9" s="1">
        <v>9152</v>
      </c>
      <c r="C9" s="57" t="s">
        <v>801</v>
      </c>
      <c r="D9" s="1" t="s">
        <v>791</v>
      </c>
      <c r="E9" s="1" t="s">
        <v>726</v>
      </c>
      <c r="F9" s="58">
        <v>0.9</v>
      </c>
      <c r="G9" s="58">
        <v>0.01</v>
      </c>
      <c r="H9" s="1">
        <v>1000</v>
      </c>
      <c r="I9" s="55">
        <v>200</v>
      </c>
      <c r="J9" s="59">
        <f t="shared" si="0"/>
        <v>1200</v>
      </c>
    </row>
    <row r="10" spans="1:15" x14ac:dyDescent="0.3">
      <c r="A10" s="1">
        <v>9</v>
      </c>
      <c r="B10" s="1">
        <v>1729</v>
      </c>
      <c r="C10" s="57" t="s">
        <v>802</v>
      </c>
      <c r="D10" s="1" t="s">
        <v>794</v>
      </c>
      <c r="E10" s="1" t="s">
        <v>726</v>
      </c>
      <c r="F10" s="58">
        <v>0.5</v>
      </c>
      <c r="G10" s="58">
        <v>0.03</v>
      </c>
      <c r="H10" s="1">
        <v>0</v>
      </c>
      <c r="I10" s="55">
        <v>100</v>
      </c>
      <c r="J10" s="59">
        <f t="shared" si="0"/>
        <v>100</v>
      </c>
      <c r="N10" s="60" t="s">
        <v>720</v>
      </c>
      <c r="O10" s="60" t="s">
        <v>880</v>
      </c>
    </row>
    <row r="11" spans="1:15" x14ac:dyDescent="0.3">
      <c r="A11" s="1">
        <v>10</v>
      </c>
      <c r="B11" s="1">
        <v>651</v>
      </c>
      <c r="C11" s="57" t="s">
        <v>803</v>
      </c>
      <c r="D11" s="1" t="s">
        <v>798</v>
      </c>
      <c r="E11" s="1" t="s">
        <v>726</v>
      </c>
      <c r="F11" s="58">
        <v>0.73</v>
      </c>
      <c r="G11" s="58">
        <v>0.08</v>
      </c>
      <c r="H11" s="1">
        <v>100</v>
      </c>
      <c r="I11" s="55">
        <v>0</v>
      </c>
      <c r="J11" s="59">
        <f t="shared" si="0"/>
        <v>100</v>
      </c>
      <c r="N11" s="1" t="s">
        <v>724</v>
      </c>
      <c r="O11" s="1">
        <f>COUNTIF(E2:E51,$N11)</f>
        <v>20</v>
      </c>
    </row>
    <row r="12" spans="1:15" x14ac:dyDescent="0.3">
      <c r="A12" s="1">
        <v>11</v>
      </c>
      <c r="B12" s="1">
        <v>745</v>
      </c>
      <c r="C12" s="57" t="s">
        <v>804</v>
      </c>
      <c r="D12" s="1" t="s">
        <v>798</v>
      </c>
      <c r="E12" s="1" t="s">
        <v>726</v>
      </c>
      <c r="F12" s="58">
        <v>0.67</v>
      </c>
      <c r="G12" s="58">
        <v>0.02</v>
      </c>
      <c r="H12" s="1">
        <v>100</v>
      </c>
      <c r="I12" s="55">
        <v>0</v>
      </c>
      <c r="J12" s="59">
        <f t="shared" si="0"/>
        <v>100</v>
      </c>
      <c r="N12" s="1" t="s">
        <v>726</v>
      </c>
      <c r="O12" s="1">
        <f>COUNTIF(E3:E52,$N12)</f>
        <v>30</v>
      </c>
    </row>
    <row r="13" spans="1:15" x14ac:dyDescent="0.3">
      <c r="A13" s="1">
        <v>12</v>
      </c>
      <c r="B13" s="1">
        <v>867</v>
      </c>
      <c r="C13" s="57" t="s">
        <v>805</v>
      </c>
      <c r="D13" s="1" t="s">
        <v>787</v>
      </c>
      <c r="E13" s="1" t="s">
        <v>724</v>
      </c>
      <c r="F13" s="58">
        <v>0.88</v>
      </c>
      <c r="G13" s="58">
        <v>0.05</v>
      </c>
      <c r="H13" s="1">
        <v>500</v>
      </c>
      <c r="I13" s="55">
        <v>100</v>
      </c>
      <c r="J13" s="59">
        <f t="shared" si="0"/>
        <v>600</v>
      </c>
    </row>
    <row r="14" spans="1:15" x14ac:dyDescent="0.3">
      <c r="A14" s="1">
        <v>13</v>
      </c>
      <c r="B14" s="1">
        <v>7893</v>
      </c>
      <c r="C14" s="57" t="s">
        <v>806</v>
      </c>
      <c r="D14" s="1" t="s">
        <v>787</v>
      </c>
      <c r="E14" s="1" t="s">
        <v>726</v>
      </c>
      <c r="F14" s="58">
        <v>0.04</v>
      </c>
      <c r="G14" s="58">
        <v>0.01</v>
      </c>
      <c r="H14" s="1">
        <v>0</v>
      </c>
      <c r="I14" s="55">
        <v>0</v>
      </c>
      <c r="J14" s="59">
        <f t="shared" si="0"/>
        <v>0</v>
      </c>
    </row>
    <row r="15" spans="1:15" x14ac:dyDescent="0.3">
      <c r="A15" s="1">
        <v>14</v>
      </c>
      <c r="B15" s="1">
        <v>9607</v>
      </c>
      <c r="C15" s="57" t="s">
        <v>807</v>
      </c>
      <c r="D15" s="1" t="s">
        <v>796</v>
      </c>
      <c r="E15" s="1" t="s">
        <v>724</v>
      </c>
      <c r="F15" s="58">
        <v>0.32</v>
      </c>
      <c r="G15" s="58">
        <v>0.06</v>
      </c>
      <c r="H15" s="1">
        <v>0</v>
      </c>
      <c r="I15" s="55">
        <v>100</v>
      </c>
      <c r="J15" s="59">
        <f t="shared" si="0"/>
        <v>100</v>
      </c>
    </row>
    <row r="16" spans="1:15" x14ac:dyDescent="0.3">
      <c r="A16" s="1">
        <v>15</v>
      </c>
      <c r="B16" s="1">
        <v>9784</v>
      </c>
      <c r="C16" s="57" t="s">
        <v>808</v>
      </c>
      <c r="D16" s="1" t="s">
        <v>798</v>
      </c>
      <c r="E16" s="1" t="s">
        <v>724</v>
      </c>
      <c r="F16" s="58">
        <v>0.84</v>
      </c>
      <c r="G16" s="58">
        <v>0.08</v>
      </c>
      <c r="H16" s="1">
        <v>500</v>
      </c>
      <c r="I16" s="55">
        <v>100</v>
      </c>
      <c r="J16" s="59">
        <f t="shared" si="0"/>
        <v>600</v>
      </c>
    </row>
    <row r="17" spans="1:10" x14ac:dyDescent="0.3">
      <c r="A17" s="1">
        <v>16</v>
      </c>
      <c r="B17" s="1">
        <v>4161</v>
      </c>
      <c r="C17" s="57" t="s">
        <v>809</v>
      </c>
      <c r="D17" s="1" t="s">
        <v>791</v>
      </c>
      <c r="E17" s="1" t="s">
        <v>724</v>
      </c>
      <c r="F17" s="58">
        <v>0.69000000000000006</v>
      </c>
      <c r="G17" s="58">
        <v>7.0000000000000007E-2</v>
      </c>
      <c r="H17" s="1">
        <v>100</v>
      </c>
      <c r="I17" s="55">
        <v>100</v>
      </c>
      <c r="J17" s="59">
        <f t="shared" si="0"/>
        <v>200</v>
      </c>
    </row>
    <row r="18" spans="1:10" x14ac:dyDescent="0.3">
      <c r="A18" s="1">
        <v>17</v>
      </c>
      <c r="B18" s="1">
        <v>7093</v>
      </c>
      <c r="C18" s="57" t="s">
        <v>810</v>
      </c>
      <c r="D18" s="1" t="s">
        <v>794</v>
      </c>
      <c r="E18" s="1" t="s">
        <v>726</v>
      </c>
      <c r="F18" s="58">
        <v>0.85</v>
      </c>
      <c r="G18" s="58">
        <v>0.04</v>
      </c>
      <c r="H18" s="1">
        <v>500</v>
      </c>
      <c r="I18" s="55">
        <v>0</v>
      </c>
      <c r="J18" s="59">
        <f t="shared" si="0"/>
        <v>500</v>
      </c>
    </row>
    <row r="19" spans="1:10" x14ac:dyDescent="0.3">
      <c r="A19" s="1">
        <v>18</v>
      </c>
      <c r="B19" s="1">
        <v>3697</v>
      </c>
      <c r="C19" s="57" t="s">
        <v>811</v>
      </c>
      <c r="D19" s="1" t="s">
        <v>794</v>
      </c>
      <c r="E19" s="1" t="s">
        <v>726</v>
      </c>
      <c r="F19" s="58">
        <v>0.89</v>
      </c>
      <c r="G19" s="58">
        <v>0</v>
      </c>
      <c r="H19" s="1">
        <v>500</v>
      </c>
      <c r="I19" s="55">
        <v>100</v>
      </c>
      <c r="J19" s="59">
        <f t="shared" si="0"/>
        <v>600</v>
      </c>
    </row>
    <row r="20" spans="1:10" x14ac:dyDescent="0.3">
      <c r="A20" s="1">
        <v>19</v>
      </c>
      <c r="B20" s="1">
        <v>5433</v>
      </c>
      <c r="C20" s="57" t="s">
        <v>812</v>
      </c>
      <c r="D20" s="1" t="s">
        <v>794</v>
      </c>
      <c r="E20" s="1" t="s">
        <v>726</v>
      </c>
      <c r="F20" s="58">
        <v>0.14000000000000001</v>
      </c>
      <c r="G20" s="58">
        <v>7.0000000000000007E-2</v>
      </c>
      <c r="H20" s="1">
        <v>0</v>
      </c>
      <c r="I20" s="55">
        <v>0</v>
      </c>
      <c r="J20" s="59">
        <f t="shared" si="0"/>
        <v>0</v>
      </c>
    </row>
    <row r="21" spans="1:10" x14ac:dyDescent="0.3">
      <c r="A21" s="1">
        <v>20</v>
      </c>
      <c r="B21" s="1">
        <v>4400</v>
      </c>
      <c r="C21" s="57" t="s">
        <v>813</v>
      </c>
      <c r="D21" s="1" t="s">
        <v>787</v>
      </c>
      <c r="E21" s="1" t="s">
        <v>724</v>
      </c>
      <c r="F21" s="58">
        <v>0.41000000000000003</v>
      </c>
      <c r="G21" s="58">
        <v>0.05</v>
      </c>
      <c r="H21" s="1">
        <v>1000</v>
      </c>
      <c r="I21" s="55">
        <v>100</v>
      </c>
      <c r="J21" s="59">
        <f t="shared" si="0"/>
        <v>1100</v>
      </c>
    </row>
    <row r="22" spans="1:10" x14ac:dyDescent="0.3">
      <c r="A22" s="1">
        <v>21</v>
      </c>
      <c r="B22" s="1">
        <v>8991</v>
      </c>
      <c r="C22" s="57" t="s">
        <v>814</v>
      </c>
      <c r="D22" s="1" t="s">
        <v>796</v>
      </c>
      <c r="E22" s="1" t="s">
        <v>724</v>
      </c>
      <c r="F22" s="58">
        <v>0.37</v>
      </c>
      <c r="G22" s="58">
        <v>0.03</v>
      </c>
      <c r="H22" s="1">
        <v>0</v>
      </c>
      <c r="I22" s="55">
        <v>100</v>
      </c>
      <c r="J22" s="59">
        <f t="shared" si="0"/>
        <v>100</v>
      </c>
    </row>
    <row r="23" spans="1:10" x14ac:dyDescent="0.3">
      <c r="A23" s="1">
        <v>22</v>
      </c>
      <c r="B23" s="1">
        <v>2165</v>
      </c>
      <c r="C23" s="57" t="s">
        <v>815</v>
      </c>
      <c r="D23" s="1" t="s">
        <v>794</v>
      </c>
      <c r="E23" s="1" t="s">
        <v>724</v>
      </c>
      <c r="F23" s="58">
        <v>0.26</v>
      </c>
      <c r="G23" s="58">
        <v>0.01</v>
      </c>
      <c r="H23" s="1">
        <v>100</v>
      </c>
      <c r="I23" s="55">
        <v>100</v>
      </c>
      <c r="J23" s="59">
        <f t="shared" si="0"/>
        <v>200</v>
      </c>
    </row>
    <row r="24" spans="1:10" x14ac:dyDescent="0.3">
      <c r="A24" s="1">
        <v>23</v>
      </c>
      <c r="B24" s="1">
        <v>3719</v>
      </c>
      <c r="C24" s="57" t="s">
        <v>816</v>
      </c>
      <c r="D24" s="1" t="s">
        <v>796</v>
      </c>
      <c r="E24" s="1" t="s">
        <v>726</v>
      </c>
      <c r="F24" s="58">
        <v>0.91</v>
      </c>
      <c r="G24" s="58">
        <v>0.08</v>
      </c>
      <c r="H24" s="1">
        <v>1000</v>
      </c>
      <c r="I24" s="55">
        <v>0</v>
      </c>
      <c r="J24" s="59">
        <f t="shared" si="0"/>
        <v>1000</v>
      </c>
    </row>
    <row r="25" spans="1:10" x14ac:dyDescent="0.3">
      <c r="A25" s="1">
        <v>24</v>
      </c>
      <c r="B25" s="1">
        <v>3389</v>
      </c>
      <c r="C25" s="57" t="s">
        <v>817</v>
      </c>
      <c r="D25" s="1" t="s">
        <v>796</v>
      </c>
      <c r="E25" s="1" t="s">
        <v>726</v>
      </c>
      <c r="F25" s="58">
        <v>0.91</v>
      </c>
      <c r="G25" s="58">
        <v>0.08</v>
      </c>
      <c r="H25" s="1">
        <v>1000</v>
      </c>
      <c r="I25" s="55">
        <v>100</v>
      </c>
      <c r="J25" s="59">
        <f t="shared" si="0"/>
        <v>1100</v>
      </c>
    </row>
    <row r="26" spans="1:10" x14ac:dyDescent="0.3">
      <c r="A26" s="1">
        <v>25</v>
      </c>
      <c r="B26" s="1">
        <v>6080</v>
      </c>
      <c r="C26" s="57" t="s">
        <v>818</v>
      </c>
      <c r="D26" s="1" t="s">
        <v>796</v>
      </c>
      <c r="E26" s="1" t="s">
        <v>726</v>
      </c>
      <c r="F26" s="58">
        <v>0.08</v>
      </c>
      <c r="G26" s="58">
        <v>0.01</v>
      </c>
      <c r="H26" s="1">
        <v>0</v>
      </c>
      <c r="I26" s="55">
        <v>0</v>
      </c>
      <c r="J26" s="59">
        <f t="shared" si="0"/>
        <v>0</v>
      </c>
    </row>
    <row r="27" spans="1:10" x14ac:dyDescent="0.3">
      <c r="A27" s="1">
        <v>26</v>
      </c>
      <c r="B27" s="1">
        <v>8889</v>
      </c>
      <c r="C27" s="57" t="s">
        <v>819</v>
      </c>
      <c r="D27" s="1" t="s">
        <v>791</v>
      </c>
      <c r="E27" s="1" t="s">
        <v>726</v>
      </c>
      <c r="F27" s="58">
        <v>0.22</v>
      </c>
      <c r="G27" s="58">
        <v>0.04</v>
      </c>
      <c r="H27" s="1">
        <v>0</v>
      </c>
      <c r="I27" s="55">
        <v>200</v>
      </c>
      <c r="J27" s="59">
        <f t="shared" si="0"/>
        <v>200</v>
      </c>
    </row>
    <row r="28" spans="1:10" x14ac:dyDescent="0.3">
      <c r="A28" s="1">
        <v>27</v>
      </c>
      <c r="B28" s="1">
        <v>4559</v>
      </c>
      <c r="C28" s="57" t="s">
        <v>820</v>
      </c>
      <c r="D28" s="1" t="s">
        <v>787</v>
      </c>
      <c r="E28" s="1" t="s">
        <v>724</v>
      </c>
      <c r="F28" s="58">
        <v>0.94000000000000006</v>
      </c>
      <c r="G28" s="58">
        <v>0</v>
      </c>
      <c r="H28" s="1">
        <v>1000</v>
      </c>
      <c r="I28" s="55">
        <v>100</v>
      </c>
      <c r="J28" s="59">
        <f t="shared" si="0"/>
        <v>1100</v>
      </c>
    </row>
    <row r="29" spans="1:10" x14ac:dyDescent="0.3">
      <c r="A29" s="1">
        <v>28</v>
      </c>
      <c r="B29" s="1">
        <v>4384</v>
      </c>
      <c r="C29" s="57" t="s">
        <v>821</v>
      </c>
      <c r="D29" s="1" t="s">
        <v>798</v>
      </c>
      <c r="E29" s="1" t="s">
        <v>726</v>
      </c>
      <c r="F29" s="58">
        <v>0.32</v>
      </c>
      <c r="G29" s="58">
        <v>0.05</v>
      </c>
      <c r="H29" s="1">
        <v>0</v>
      </c>
      <c r="I29" s="55">
        <v>0</v>
      </c>
      <c r="J29" s="59">
        <f t="shared" si="0"/>
        <v>0</v>
      </c>
    </row>
    <row r="30" spans="1:10" x14ac:dyDescent="0.3">
      <c r="A30" s="1">
        <v>29</v>
      </c>
      <c r="B30" s="1">
        <v>9587</v>
      </c>
      <c r="C30" s="57" t="s">
        <v>822</v>
      </c>
      <c r="D30" s="1" t="s">
        <v>794</v>
      </c>
      <c r="E30" s="1" t="s">
        <v>724</v>
      </c>
      <c r="F30" s="58">
        <v>0.03</v>
      </c>
      <c r="G30" s="58">
        <v>0.03</v>
      </c>
      <c r="H30" s="1">
        <v>0</v>
      </c>
      <c r="I30" s="55">
        <v>100</v>
      </c>
      <c r="J30" s="59">
        <f t="shared" si="0"/>
        <v>100</v>
      </c>
    </row>
    <row r="31" spans="1:10" x14ac:dyDescent="0.3">
      <c r="A31" s="1">
        <v>30</v>
      </c>
      <c r="B31" s="1">
        <v>9669</v>
      </c>
      <c r="C31" s="57" t="s">
        <v>823</v>
      </c>
      <c r="D31" s="1" t="s">
        <v>787</v>
      </c>
      <c r="E31" s="1" t="s">
        <v>724</v>
      </c>
      <c r="F31" s="58">
        <v>0.73</v>
      </c>
      <c r="G31" s="58">
        <v>0.06</v>
      </c>
      <c r="H31" s="1">
        <v>100</v>
      </c>
      <c r="I31" s="55">
        <v>100</v>
      </c>
      <c r="J31" s="59">
        <f t="shared" si="0"/>
        <v>200</v>
      </c>
    </row>
    <row r="32" spans="1:10" x14ac:dyDescent="0.3">
      <c r="A32" s="1">
        <v>31</v>
      </c>
      <c r="B32" s="1">
        <v>5458</v>
      </c>
      <c r="C32" s="57" t="s">
        <v>824</v>
      </c>
      <c r="D32" s="1" t="s">
        <v>798</v>
      </c>
      <c r="E32" s="1" t="s">
        <v>726</v>
      </c>
      <c r="F32" s="58">
        <v>0.63</v>
      </c>
      <c r="G32" s="58">
        <v>0.01</v>
      </c>
      <c r="H32" s="1">
        <v>100</v>
      </c>
      <c r="I32" s="55">
        <v>0</v>
      </c>
      <c r="J32" s="59">
        <f t="shared" si="0"/>
        <v>100</v>
      </c>
    </row>
    <row r="33" spans="1:10" x14ac:dyDescent="0.3">
      <c r="A33" s="1">
        <v>32</v>
      </c>
      <c r="B33" s="1">
        <v>9907</v>
      </c>
      <c r="C33" s="57" t="s">
        <v>825</v>
      </c>
      <c r="D33" s="1" t="s">
        <v>791</v>
      </c>
      <c r="E33" s="1" t="s">
        <v>724</v>
      </c>
      <c r="F33" s="58">
        <v>0.2</v>
      </c>
      <c r="G33" s="58">
        <v>0.09</v>
      </c>
      <c r="H33" s="1">
        <v>0</v>
      </c>
      <c r="I33" s="55">
        <v>100</v>
      </c>
      <c r="J33" s="59">
        <f t="shared" si="0"/>
        <v>100</v>
      </c>
    </row>
    <row r="34" spans="1:10" x14ac:dyDescent="0.3">
      <c r="A34" s="1">
        <v>33</v>
      </c>
      <c r="B34" s="1">
        <v>7793</v>
      </c>
      <c r="C34" s="57" t="s">
        <v>826</v>
      </c>
      <c r="D34" s="1" t="s">
        <v>796</v>
      </c>
      <c r="E34" s="1" t="s">
        <v>726</v>
      </c>
      <c r="F34" s="58">
        <v>0.45</v>
      </c>
      <c r="G34" s="58">
        <v>0.08</v>
      </c>
      <c r="H34" s="1">
        <v>1000</v>
      </c>
      <c r="I34" s="55">
        <v>0</v>
      </c>
      <c r="J34" s="59">
        <f t="shared" si="0"/>
        <v>1000</v>
      </c>
    </row>
    <row r="35" spans="1:10" x14ac:dyDescent="0.3">
      <c r="A35" s="1">
        <v>34</v>
      </c>
      <c r="B35" s="1">
        <v>6962</v>
      </c>
      <c r="C35" s="57" t="s">
        <v>827</v>
      </c>
      <c r="D35" s="1" t="s">
        <v>791</v>
      </c>
      <c r="E35" s="1" t="s">
        <v>726</v>
      </c>
      <c r="F35" s="58">
        <v>0.62</v>
      </c>
      <c r="G35" s="58">
        <v>0.02</v>
      </c>
      <c r="H35" s="1">
        <v>100</v>
      </c>
      <c r="I35" s="55">
        <v>0</v>
      </c>
      <c r="J35" s="59">
        <f t="shared" si="0"/>
        <v>100</v>
      </c>
    </row>
    <row r="36" spans="1:10" x14ac:dyDescent="0.3">
      <c r="A36" s="1">
        <v>35</v>
      </c>
      <c r="B36" s="1">
        <v>7108</v>
      </c>
      <c r="C36" s="57" t="s">
        <v>828</v>
      </c>
      <c r="D36" s="1" t="s">
        <v>796</v>
      </c>
      <c r="E36" s="1" t="s">
        <v>726</v>
      </c>
      <c r="F36" s="58">
        <v>0.91</v>
      </c>
      <c r="G36" s="58">
        <v>0.06</v>
      </c>
      <c r="H36" s="1">
        <v>1000</v>
      </c>
      <c r="I36" s="55">
        <v>100</v>
      </c>
      <c r="J36" s="59">
        <f t="shared" si="0"/>
        <v>1100</v>
      </c>
    </row>
    <row r="37" spans="1:10" x14ac:dyDescent="0.3">
      <c r="A37" s="1">
        <v>36</v>
      </c>
      <c r="B37" s="1">
        <v>4095</v>
      </c>
      <c r="C37" s="57" t="s">
        <v>829</v>
      </c>
      <c r="D37" s="1" t="s">
        <v>798</v>
      </c>
      <c r="E37" s="1" t="s">
        <v>726</v>
      </c>
      <c r="F37" s="58">
        <v>0.66</v>
      </c>
      <c r="G37" s="58">
        <v>0.02</v>
      </c>
      <c r="H37" s="1">
        <v>100</v>
      </c>
      <c r="I37" s="55">
        <v>0</v>
      </c>
      <c r="J37" s="59">
        <f t="shared" si="0"/>
        <v>100</v>
      </c>
    </row>
    <row r="38" spans="1:10" x14ac:dyDescent="0.3">
      <c r="A38" s="1">
        <v>37</v>
      </c>
      <c r="B38" s="1">
        <v>8385</v>
      </c>
      <c r="C38" s="57" t="s">
        <v>830</v>
      </c>
      <c r="D38" s="1" t="s">
        <v>798</v>
      </c>
      <c r="E38" s="1" t="s">
        <v>726</v>
      </c>
      <c r="F38" s="58">
        <v>0.6</v>
      </c>
      <c r="G38" s="58">
        <v>0.09</v>
      </c>
      <c r="H38" s="1">
        <v>100</v>
      </c>
      <c r="I38" s="55">
        <v>0</v>
      </c>
      <c r="J38" s="59">
        <f t="shared" si="0"/>
        <v>100</v>
      </c>
    </row>
    <row r="39" spans="1:10" x14ac:dyDescent="0.3">
      <c r="A39" s="1">
        <v>38</v>
      </c>
      <c r="B39" s="1">
        <v>2248</v>
      </c>
      <c r="C39" s="57" t="s">
        <v>831</v>
      </c>
      <c r="D39" s="1" t="s">
        <v>794</v>
      </c>
      <c r="E39" s="1" t="s">
        <v>724</v>
      </c>
      <c r="F39" s="58">
        <v>0.62</v>
      </c>
      <c r="G39" s="58">
        <v>0.08</v>
      </c>
      <c r="H39" s="1">
        <v>100</v>
      </c>
      <c r="I39" s="55">
        <v>100</v>
      </c>
      <c r="J39" s="59">
        <f t="shared" si="0"/>
        <v>200</v>
      </c>
    </row>
    <row r="40" spans="1:10" x14ac:dyDescent="0.3">
      <c r="A40" s="1">
        <v>39</v>
      </c>
      <c r="B40" s="1">
        <v>9927</v>
      </c>
      <c r="C40" s="57" t="s">
        <v>832</v>
      </c>
      <c r="D40" s="1" t="s">
        <v>787</v>
      </c>
      <c r="E40" s="1" t="s">
        <v>724</v>
      </c>
      <c r="F40" s="58">
        <v>0.23</v>
      </c>
      <c r="G40" s="58">
        <v>0.04</v>
      </c>
      <c r="H40" s="1">
        <v>0</v>
      </c>
      <c r="I40" s="55">
        <v>100</v>
      </c>
      <c r="J40" s="59">
        <f t="shared" si="0"/>
        <v>100</v>
      </c>
    </row>
    <row r="41" spans="1:10" x14ac:dyDescent="0.3">
      <c r="A41" s="1">
        <v>40</v>
      </c>
      <c r="B41" s="1">
        <v>7803</v>
      </c>
      <c r="C41" s="57" t="s">
        <v>833</v>
      </c>
      <c r="D41" s="1" t="s">
        <v>791</v>
      </c>
      <c r="E41" s="1" t="s">
        <v>724</v>
      </c>
      <c r="F41" s="58">
        <v>0.98</v>
      </c>
      <c r="G41" s="58">
        <v>0.09</v>
      </c>
      <c r="H41" s="1">
        <v>1000</v>
      </c>
      <c r="I41" s="55">
        <v>100</v>
      </c>
      <c r="J41" s="59">
        <f t="shared" si="0"/>
        <v>1100</v>
      </c>
    </row>
    <row r="42" spans="1:10" x14ac:dyDescent="0.3">
      <c r="A42" s="1">
        <v>41</v>
      </c>
      <c r="B42" s="1">
        <v>6970</v>
      </c>
      <c r="C42" s="57" t="s">
        <v>834</v>
      </c>
      <c r="D42" s="1" t="s">
        <v>787</v>
      </c>
      <c r="E42" s="1" t="s">
        <v>726</v>
      </c>
      <c r="F42" s="58">
        <v>0.32</v>
      </c>
      <c r="G42" s="58">
        <v>0.06</v>
      </c>
      <c r="H42" s="1">
        <v>0</v>
      </c>
      <c r="I42" s="55">
        <v>0</v>
      </c>
      <c r="J42" s="59">
        <f t="shared" si="0"/>
        <v>0</v>
      </c>
    </row>
    <row r="43" spans="1:10" x14ac:dyDescent="0.3">
      <c r="A43" s="1">
        <v>42</v>
      </c>
      <c r="B43" s="1">
        <v>3104</v>
      </c>
      <c r="C43" s="57" t="s">
        <v>835</v>
      </c>
      <c r="D43" s="1" t="s">
        <v>798</v>
      </c>
      <c r="E43" s="1" t="s">
        <v>724</v>
      </c>
      <c r="F43" s="58">
        <v>0.16</v>
      </c>
      <c r="G43" s="58">
        <v>0.02</v>
      </c>
      <c r="H43" s="1">
        <v>0</v>
      </c>
      <c r="I43" s="55">
        <v>100</v>
      </c>
      <c r="J43" s="59">
        <f t="shared" si="0"/>
        <v>100</v>
      </c>
    </row>
    <row r="44" spans="1:10" x14ac:dyDescent="0.3">
      <c r="A44" s="1">
        <v>43</v>
      </c>
      <c r="B44" s="1">
        <v>2551</v>
      </c>
      <c r="C44" s="57" t="s">
        <v>836</v>
      </c>
      <c r="D44" s="1" t="s">
        <v>787</v>
      </c>
      <c r="E44" s="1" t="s">
        <v>726</v>
      </c>
      <c r="F44" s="58">
        <v>0.92</v>
      </c>
      <c r="G44" s="58">
        <v>0.08</v>
      </c>
      <c r="H44" s="1">
        <v>1000</v>
      </c>
      <c r="I44" s="55">
        <v>0</v>
      </c>
      <c r="J44" s="59">
        <f t="shared" si="0"/>
        <v>1000</v>
      </c>
    </row>
    <row r="45" spans="1:10" x14ac:dyDescent="0.3">
      <c r="A45" s="1">
        <v>44</v>
      </c>
      <c r="B45" s="1">
        <v>6742</v>
      </c>
      <c r="C45" s="57" t="s">
        <v>837</v>
      </c>
      <c r="D45" s="1" t="s">
        <v>796</v>
      </c>
      <c r="E45" s="1" t="s">
        <v>724</v>
      </c>
      <c r="F45" s="58">
        <v>0.8</v>
      </c>
      <c r="G45" s="58">
        <v>0.03</v>
      </c>
      <c r="H45" s="1">
        <v>500</v>
      </c>
      <c r="I45" s="55">
        <v>100</v>
      </c>
      <c r="J45" s="59">
        <f t="shared" si="0"/>
        <v>600</v>
      </c>
    </row>
    <row r="46" spans="1:10" x14ac:dyDescent="0.3">
      <c r="A46" s="1">
        <v>45</v>
      </c>
      <c r="B46" s="1">
        <v>9666</v>
      </c>
      <c r="C46" s="57" t="s">
        <v>838</v>
      </c>
      <c r="D46" s="1" t="s">
        <v>791</v>
      </c>
      <c r="E46" s="1" t="s">
        <v>724</v>
      </c>
      <c r="F46" s="58">
        <v>0.83000000000000007</v>
      </c>
      <c r="G46" s="58">
        <v>7.0000000000000007E-2</v>
      </c>
      <c r="H46" s="1">
        <v>500</v>
      </c>
      <c r="I46" s="55">
        <v>100</v>
      </c>
      <c r="J46" s="59">
        <f t="shared" si="0"/>
        <v>600</v>
      </c>
    </row>
    <row r="47" spans="1:10" x14ac:dyDescent="0.3">
      <c r="A47" s="1">
        <v>46</v>
      </c>
      <c r="B47" s="1">
        <v>6563</v>
      </c>
      <c r="C47" s="57" t="s">
        <v>839</v>
      </c>
      <c r="D47" s="1" t="s">
        <v>798</v>
      </c>
      <c r="E47" s="1" t="s">
        <v>726</v>
      </c>
      <c r="F47" s="58">
        <v>0.8</v>
      </c>
      <c r="G47" s="58">
        <v>0.09</v>
      </c>
      <c r="H47" s="1">
        <v>500</v>
      </c>
      <c r="I47" s="55">
        <v>0</v>
      </c>
      <c r="J47" s="59">
        <f t="shared" si="0"/>
        <v>500</v>
      </c>
    </row>
    <row r="48" spans="1:10" x14ac:dyDescent="0.3">
      <c r="A48" s="1">
        <v>47</v>
      </c>
      <c r="B48" s="1">
        <v>6767</v>
      </c>
      <c r="C48" s="57" t="s">
        <v>840</v>
      </c>
      <c r="D48" s="1" t="s">
        <v>794</v>
      </c>
      <c r="E48" s="1" t="s">
        <v>726</v>
      </c>
      <c r="F48" s="58">
        <v>0.53</v>
      </c>
      <c r="G48" s="58">
        <v>0.05</v>
      </c>
      <c r="H48" s="1">
        <v>0</v>
      </c>
      <c r="I48" s="55">
        <v>0</v>
      </c>
      <c r="J48" s="59">
        <f t="shared" si="0"/>
        <v>0</v>
      </c>
    </row>
    <row r="49" spans="1:10" x14ac:dyDescent="0.3">
      <c r="A49" s="1">
        <v>48</v>
      </c>
      <c r="B49" s="1">
        <v>6191</v>
      </c>
      <c r="C49" s="57" t="s">
        <v>841</v>
      </c>
      <c r="D49" s="1" t="s">
        <v>787</v>
      </c>
      <c r="E49" s="1" t="s">
        <v>726</v>
      </c>
      <c r="F49" s="58">
        <v>0.28000000000000003</v>
      </c>
      <c r="G49" s="58">
        <v>7.0000000000000007E-2</v>
      </c>
      <c r="H49" s="1">
        <v>0</v>
      </c>
      <c r="I49" s="55">
        <v>100</v>
      </c>
      <c r="J49" s="59">
        <f t="shared" si="0"/>
        <v>100</v>
      </c>
    </row>
    <row r="50" spans="1:10" x14ac:dyDescent="0.3">
      <c r="A50" s="1">
        <v>49</v>
      </c>
      <c r="B50" s="1">
        <v>7161</v>
      </c>
      <c r="C50" s="57" t="s">
        <v>842</v>
      </c>
      <c r="D50" s="1" t="s">
        <v>791</v>
      </c>
      <c r="E50" s="1" t="s">
        <v>726</v>
      </c>
      <c r="F50" s="58">
        <v>0.99</v>
      </c>
      <c r="G50" s="58">
        <v>0</v>
      </c>
      <c r="H50" s="1">
        <v>1000</v>
      </c>
      <c r="I50" s="55">
        <v>0</v>
      </c>
      <c r="J50" s="59">
        <f t="shared" si="0"/>
        <v>1000</v>
      </c>
    </row>
    <row r="51" spans="1:10" x14ac:dyDescent="0.3">
      <c r="A51" s="1">
        <v>50</v>
      </c>
      <c r="B51" s="1">
        <v>9101</v>
      </c>
      <c r="C51" s="57" t="s">
        <v>843</v>
      </c>
      <c r="D51" s="1" t="s">
        <v>796</v>
      </c>
      <c r="E51" s="1" t="s">
        <v>726</v>
      </c>
      <c r="F51" s="58">
        <v>0.57999999999999996</v>
      </c>
      <c r="G51" s="58">
        <v>0.08</v>
      </c>
      <c r="H51" s="1">
        <v>0</v>
      </c>
      <c r="I51" s="55">
        <v>0</v>
      </c>
      <c r="J51" s="59">
        <f t="shared" si="0"/>
        <v>0</v>
      </c>
    </row>
  </sheetData>
  <autoFilter ref="A1:J51" xr:uid="{10E344F3-4180-452E-B6F4-177F38596A24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31A6-98C7-4C34-9E4A-58E560AAC97A}">
  <dimension ref="A1:C321"/>
  <sheetViews>
    <sheetView tabSelected="1" workbookViewId="0">
      <selection activeCell="A321" sqref="A321"/>
    </sheetView>
  </sheetViews>
  <sheetFormatPr defaultRowHeight="14.4" x14ac:dyDescent="0.3"/>
  <cols>
    <col min="1" max="1" width="18.77734375" bestFit="1" customWidth="1"/>
    <col min="2" max="2" width="36.77734375" bestFit="1" customWidth="1"/>
    <col min="3" max="3" width="19.77734375" bestFit="1" customWidth="1"/>
  </cols>
  <sheetData>
    <row r="1" spans="1:3" x14ac:dyDescent="0.3">
      <c r="A1" t="s">
        <v>881</v>
      </c>
      <c r="B1" t="s">
        <v>69</v>
      </c>
      <c r="C1" t="s">
        <v>70</v>
      </c>
    </row>
    <row r="2" spans="1:3" x14ac:dyDescent="0.3">
      <c r="A2" t="s">
        <v>882</v>
      </c>
      <c r="B2" t="s">
        <v>99</v>
      </c>
      <c r="C2" t="s">
        <v>100</v>
      </c>
    </row>
    <row r="3" spans="1:3" x14ac:dyDescent="0.3">
      <c r="A3" t="s">
        <v>883</v>
      </c>
      <c r="B3" t="s">
        <v>393</v>
      </c>
      <c r="C3" t="s">
        <v>394</v>
      </c>
    </row>
    <row r="4" spans="1:3" x14ac:dyDescent="0.3">
      <c r="A4" t="s">
        <v>884</v>
      </c>
      <c r="B4" t="s">
        <v>211</v>
      </c>
      <c r="C4" t="s">
        <v>212</v>
      </c>
    </row>
    <row r="5" spans="1:3" x14ac:dyDescent="0.3">
      <c r="A5" t="s">
        <v>885</v>
      </c>
      <c r="B5" t="s">
        <v>193</v>
      </c>
      <c r="C5" t="s">
        <v>194</v>
      </c>
    </row>
    <row r="6" spans="1:3" x14ac:dyDescent="0.3">
      <c r="A6" t="s">
        <v>886</v>
      </c>
      <c r="B6" t="s">
        <v>248</v>
      </c>
      <c r="C6" t="s">
        <v>249</v>
      </c>
    </row>
    <row r="7" spans="1:3" x14ac:dyDescent="0.3">
      <c r="A7" t="s">
        <v>887</v>
      </c>
      <c r="B7" t="s">
        <v>507</v>
      </c>
      <c r="C7" t="s">
        <v>508</v>
      </c>
    </row>
    <row r="8" spans="1:3" x14ac:dyDescent="0.3">
      <c r="A8" t="s">
        <v>888</v>
      </c>
      <c r="B8" t="s">
        <v>696</v>
      </c>
      <c r="C8" t="s">
        <v>697</v>
      </c>
    </row>
    <row r="9" spans="1:3" x14ac:dyDescent="0.3">
      <c r="A9" t="s">
        <v>889</v>
      </c>
      <c r="B9" t="s">
        <v>278</v>
      </c>
      <c r="C9" t="s">
        <v>279</v>
      </c>
    </row>
    <row r="10" spans="1:3" x14ac:dyDescent="0.3">
      <c r="A10" t="s">
        <v>890</v>
      </c>
      <c r="B10" t="s">
        <v>475</v>
      </c>
      <c r="C10" t="s">
        <v>476</v>
      </c>
    </row>
    <row r="11" spans="1:3" x14ac:dyDescent="0.3">
      <c r="A11" t="s">
        <v>891</v>
      </c>
      <c r="B11" t="s">
        <v>429</v>
      </c>
      <c r="C11" t="s">
        <v>430</v>
      </c>
    </row>
    <row r="12" spans="1:3" x14ac:dyDescent="0.3">
      <c r="A12" t="s">
        <v>892</v>
      </c>
      <c r="B12" t="s">
        <v>503</v>
      </c>
      <c r="C12" t="s">
        <v>504</v>
      </c>
    </row>
    <row r="13" spans="1:3" x14ac:dyDescent="0.3">
      <c r="A13" t="s">
        <v>893</v>
      </c>
      <c r="B13" t="s">
        <v>349</v>
      </c>
      <c r="C13" t="s">
        <v>350</v>
      </c>
    </row>
    <row r="14" spans="1:3" x14ac:dyDescent="0.3">
      <c r="A14" t="s">
        <v>894</v>
      </c>
      <c r="B14" t="s">
        <v>525</v>
      </c>
      <c r="C14" t="s">
        <v>526</v>
      </c>
    </row>
    <row r="15" spans="1:3" x14ac:dyDescent="0.3">
      <c r="A15" t="s">
        <v>895</v>
      </c>
      <c r="B15" t="s">
        <v>254</v>
      </c>
      <c r="C15" t="s">
        <v>255</v>
      </c>
    </row>
    <row r="16" spans="1:3" x14ac:dyDescent="0.3">
      <c r="A16" t="s">
        <v>896</v>
      </c>
      <c r="B16" t="s">
        <v>459</v>
      </c>
      <c r="C16" t="s">
        <v>460</v>
      </c>
    </row>
    <row r="17" spans="1:3" x14ac:dyDescent="0.3">
      <c r="A17" t="s">
        <v>897</v>
      </c>
      <c r="B17" t="s">
        <v>596</v>
      </c>
      <c r="C17" t="s">
        <v>597</v>
      </c>
    </row>
    <row r="18" spans="1:3" x14ac:dyDescent="0.3">
      <c r="A18" t="s">
        <v>898</v>
      </c>
      <c r="B18" t="s">
        <v>467</v>
      </c>
      <c r="C18" t="s">
        <v>468</v>
      </c>
    </row>
    <row r="19" spans="1:3" x14ac:dyDescent="0.3">
      <c r="A19" t="s">
        <v>899</v>
      </c>
      <c r="B19" t="s">
        <v>153</v>
      </c>
      <c r="C19" t="s">
        <v>154</v>
      </c>
    </row>
    <row r="20" spans="1:3" x14ac:dyDescent="0.3">
      <c r="A20" t="s">
        <v>900</v>
      </c>
      <c r="B20" t="s">
        <v>252</v>
      </c>
      <c r="C20" t="s">
        <v>253</v>
      </c>
    </row>
    <row r="21" spans="1:3" x14ac:dyDescent="0.3">
      <c r="A21" t="s">
        <v>901</v>
      </c>
      <c r="B21" t="s">
        <v>616</v>
      </c>
      <c r="C21" t="s">
        <v>617</v>
      </c>
    </row>
    <row r="22" spans="1:3" x14ac:dyDescent="0.3">
      <c r="A22" t="s">
        <v>902</v>
      </c>
      <c r="B22" t="s">
        <v>501</v>
      </c>
      <c r="C22" t="s">
        <v>502</v>
      </c>
    </row>
    <row r="23" spans="1:3" x14ac:dyDescent="0.3">
      <c r="A23" t="s">
        <v>903</v>
      </c>
      <c r="B23" t="s">
        <v>656</v>
      </c>
      <c r="C23" t="s">
        <v>657</v>
      </c>
    </row>
    <row r="24" spans="1:3" x14ac:dyDescent="0.3">
      <c r="A24" t="s">
        <v>904</v>
      </c>
      <c r="B24" t="s">
        <v>181</v>
      </c>
      <c r="C24" t="s">
        <v>182</v>
      </c>
    </row>
    <row r="25" spans="1:3" x14ac:dyDescent="0.3">
      <c r="A25" t="s">
        <v>905</v>
      </c>
      <c r="B25" t="s">
        <v>451</v>
      </c>
      <c r="C25" t="s">
        <v>452</v>
      </c>
    </row>
    <row r="26" spans="1:3" x14ac:dyDescent="0.3">
      <c r="A26" t="s">
        <v>906</v>
      </c>
      <c r="B26" t="s">
        <v>317</v>
      </c>
      <c r="C26" t="s">
        <v>318</v>
      </c>
    </row>
    <row r="27" spans="1:3" x14ac:dyDescent="0.3">
      <c r="A27" t="s">
        <v>907</v>
      </c>
      <c r="B27" t="s">
        <v>529</v>
      </c>
      <c r="C27" t="s">
        <v>530</v>
      </c>
    </row>
    <row r="28" spans="1:3" x14ac:dyDescent="0.3">
      <c r="A28" t="s">
        <v>908</v>
      </c>
      <c r="B28" t="s">
        <v>672</v>
      </c>
      <c r="C28" t="s">
        <v>673</v>
      </c>
    </row>
    <row r="29" spans="1:3" x14ac:dyDescent="0.3">
      <c r="A29" t="s">
        <v>909</v>
      </c>
      <c r="B29" t="s">
        <v>159</v>
      </c>
      <c r="C29" t="s">
        <v>160</v>
      </c>
    </row>
    <row r="30" spans="1:3" x14ac:dyDescent="0.3">
      <c r="A30" t="s">
        <v>910</v>
      </c>
      <c r="B30" t="s">
        <v>127</v>
      </c>
      <c r="C30" t="s">
        <v>128</v>
      </c>
    </row>
    <row r="31" spans="1:3" x14ac:dyDescent="0.3">
      <c r="A31" t="s">
        <v>911</v>
      </c>
      <c r="B31" t="s">
        <v>250</v>
      </c>
      <c r="C31" t="s">
        <v>251</v>
      </c>
    </row>
    <row r="32" spans="1:3" x14ac:dyDescent="0.3">
      <c r="A32" t="s">
        <v>912</v>
      </c>
      <c r="B32" t="s">
        <v>485</v>
      </c>
      <c r="C32" t="s">
        <v>486</v>
      </c>
    </row>
    <row r="33" spans="1:3" x14ac:dyDescent="0.3">
      <c r="A33" t="s">
        <v>913</v>
      </c>
      <c r="B33" t="s">
        <v>449</v>
      </c>
      <c r="C33" t="s">
        <v>450</v>
      </c>
    </row>
    <row r="34" spans="1:3" x14ac:dyDescent="0.3">
      <c r="A34" t="s">
        <v>914</v>
      </c>
      <c r="B34" t="s">
        <v>221</v>
      </c>
      <c r="C34" t="s">
        <v>222</v>
      </c>
    </row>
    <row r="35" spans="1:3" x14ac:dyDescent="0.3">
      <c r="A35" t="s">
        <v>915</v>
      </c>
      <c r="B35" t="s">
        <v>207</v>
      </c>
      <c r="C35" t="s">
        <v>208</v>
      </c>
    </row>
    <row r="36" spans="1:3" x14ac:dyDescent="0.3">
      <c r="A36" t="s">
        <v>916</v>
      </c>
      <c r="B36" t="s">
        <v>313</v>
      </c>
      <c r="C36" t="s">
        <v>314</v>
      </c>
    </row>
    <row r="37" spans="1:3" x14ac:dyDescent="0.3">
      <c r="A37" t="s">
        <v>917</v>
      </c>
      <c r="B37" t="s">
        <v>493</v>
      </c>
      <c r="C37" t="s">
        <v>494</v>
      </c>
    </row>
    <row r="38" spans="1:3" x14ac:dyDescent="0.3">
      <c r="A38" t="s">
        <v>918</v>
      </c>
      <c r="B38" t="s">
        <v>217</v>
      </c>
      <c r="C38" t="s">
        <v>218</v>
      </c>
    </row>
    <row r="39" spans="1:3" x14ac:dyDescent="0.3">
      <c r="A39" t="s">
        <v>919</v>
      </c>
      <c r="B39" t="s">
        <v>242</v>
      </c>
      <c r="C39" t="s">
        <v>243</v>
      </c>
    </row>
    <row r="40" spans="1:3" x14ac:dyDescent="0.3">
      <c r="A40" t="s">
        <v>920</v>
      </c>
      <c r="B40" t="s">
        <v>624</v>
      </c>
      <c r="C40" t="s">
        <v>625</v>
      </c>
    </row>
    <row r="41" spans="1:3" x14ac:dyDescent="0.3">
      <c r="A41" t="s">
        <v>921</v>
      </c>
      <c r="B41" t="s">
        <v>234</v>
      </c>
      <c r="C41" t="s">
        <v>235</v>
      </c>
    </row>
    <row r="42" spans="1:3" x14ac:dyDescent="0.3">
      <c r="A42" t="s">
        <v>922</v>
      </c>
      <c r="B42" t="s">
        <v>700</v>
      </c>
      <c r="C42" t="s">
        <v>701</v>
      </c>
    </row>
    <row r="43" spans="1:3" x14ac:dyDescent="0.3">
      <c r="A43" t="s">
        <v>923</v>
      </c>
      <c r="B43" t="s">
        <v>297</v>
      </c>
      <c r="C43" t="s">
        <v>298</v>
      </c>
    </row>
    <row r="44" spans="1:3" x14ac:dyDescent="0.3">
      <c r="A44" t="s">
        <v>924</v>
      </c>
      <c r="B44" t="s">
        <v>93</v>
      </c>
      <c r="C44" t="s">
        <v>94</v>
      </c>
    </row>
    <row r="45" spans="1:3" x14ac:dyDescent="0.3">
      <c r="A45" t="s">
        <v>925</v>
      </c>
      <c r="B45" t="s">
        <v>379</v>
      </c>
      <c r="C45" t="s">
        <v>380</v>
      </c>
    </row>
    <row r="46" spans="1:3" x14ac:dyDescent="0.3">
      <c r="A46" t="s">
        <v>926</v>
      </c>
      <c r="B46" t="s">
        <v>381</v>
      </c>
      <c r="C46" t="s">
        <v>382</v>
      </c>
    </row>
    <row r="47" spans="1:3" x14ac:dyDescent="0.3">
      <c r="A47" t="s">
        <v>927</v>
      </c>
      <c r="B47" t="s">
        <v>435</v>
      </c>
      <c r="C47" t="s">
        <v>436</v>
      </c>
    </row>
    <row r="48" spans="1:3" x14ac:dyDescent="0.3">
      <c r="A48" t="s">
        <v>928</v>
      </c>
      <c r="B48" t="s">
        <v>443</v>
      </c>
      <c r="C48" t="s">
        <v>444</v>
      </c>
    </row>
    <row r="49" spans="1:3" x14ac:dyDescent="0.3">
      <c r="A49" t="s">
        <v>929</v>
      </c>
      <c r="B49" t="s">
        <v>163</v>
      </c>
      <c r="C49" t="s">
        <v>164</v>
      </c>
    </row>
    <row r="50" spans="1:3" x14ac:dyDescent="0.3">
      <c r="A50" t="s">
        <v>930</v>
      </c>
      <c r="B50" t="s">
        <v>626</v>
      </c>
      <c r="C50" t="s">
        <v>627</v>
      </c>
    </row>
    <row r="51" spans="1:3" x14ac:dyDescent="0.3">
      <c r="A51" t="s">
        <v>931</v>
      </c>
      <c r="B51" t="s">
        <v>552</v>
      </c>
      <c r="C51" t="s">
        <v>553</v>
      </c>
    </row>
    <row r="52" spans="1:3" x14ac:dyDescent="0.3">
      <c r="A52" t="s">
        <v>932</v>
      </c>
      <c r="B52" t="s">
        <v>541</v>
      </c>
      <c r="C52" t="s">
        <v>542</v>
      </c>
    </row>
    <row r="53" spans="1:3" x14ac:dyDescent="0.3">
      <c r="A53" t="s">
        <v>933</v>
      </c>
      <c r="B53" t="s">
        <v>606</v>
      </c>
      <c r="C53" t="s">
        <v>607</v>
      </c>
    </row>
    <row r="54" spans="1:3" x14ac:dyDescent="0.3">
      <c r="A54" t="s">
        <v>934</v>
      </c>
      <c r="B54" t="s">
        <v>213</v>
      </c>
      <c r="C54" t="s">
        <v>214</v>
      </c>
    </row>
    <row r="55" spans="1:3" x14ac:dyDescent="0.3">
      <c r="A55" t="s">
        <v>935</v>
      </c>
      <c r="B55" t="s">
        <v>399</v>
      </c>
      <c r="C55" t="s">
        <v>400</v>
      </c>
    </row>
    <row r="56" spans="1:3" x14ac:dyDescent="0.3">
      <c r="A56" t="s">
        <v>936</v>
      </c>
      <c r="B56" t="s">
        <v>91</v>
      </c>
      <c r="C56" t="s">
        <v>92</v>
      </c>
    </row>
    <row r="57" spans="1:3" x14ac:dyDescent="0.3">
      <c r="A57" t="s">
        <v>937</v>
      </c>
      <c r="B57" t="s">
        <v>473</v>
      </c>
      <c r="C57" t="s">
        <v>474</v>
      </c>
    </row>
    <row r="58" spans="1:3" x14ac:dyDescent="0.3">
      <c r="A58" t="s">
        <v>938</v>
      </c>
      <c r="B58" t="s">
        <v>646</v>
      </c>
      <c r="C58" t="s">
        <v>647</v>
      </c>
    </row>
    <row r="59" spans="1:3" x14ac:dyDescent="0.3">
      <c r="A59" t="s">
        <v>939</v>
      </c>
      <c r="B59" t="s">
        <v>191</v>
      </c>
      <c r="C59" t="s">
        <v>192</v>
      </c>
    </row>
    <row r="60" spans="1:3" x14ac:dyDescent="0.3">
      <c r="A60" t="s">
        <v>940</v>
      </c>
      <c r="B60" t="s">
        <v>274</v>
      </c>
      <c r="C60" t="s">
        <v>275</v>
      </c>
    </row>
    <row r="61" spans="1:3" x14ac:dyDescent="0.3">
      <c r="A61" t="s">
        <v>941</v>
      </c>
      <c r="B61" t="s">
        <v>674</v>
      </c>
      <c r="C61" t="s">
        <v>675</v>
      </c>
    </row>
    <row r="62" spans="1:3" x14ac:dyDescent="0.3">
      <c r="A62" t="s">
        <v>942</v>
      </c>
      <c r="B62" t="s">
        <v>169</v>
      </c>
      <c r="C62" t="s">
        <v>170</v>
      </c>
    </row>
    <row r="63" spans="1:3" x14ac:dyDescent="0.3">
      <c r="A63" t="s">
        <v>943</v>
      </c>
      <c r="B63" t="s">
        <v>83</v>
      </c>
      <c r="C63" t="s">
        <v>84</v>
      </c>
    </row>
    <row r="64" spans="1:3" x14ac:dyDescent="0.3">
      <c r="A64" t="s">
        <v>944</v>
      </c>
      <c r="B64" t="s">
        <v>369</v>
      </c>
      <c r="C64" t="s">
        <v>370</v>
      </c>
    </row>
    <row r="65" spans="1:3" x14ac:dyDescent="0.3">
      <c r="A65" t="s">
        <v>945</v>
      </c>
      <c r="B65" t="s">
        <v>391</v>
      </c>
      <c r="C65" t="s">
        <v>392</v>
      </c>
    </row>
    <row r="66" spans="1:3" x14ac:dyDescent="0.3">
      <c r="A66" t="s">
        <v>946</v>
      </c>
      <c r="B66" t="s">
        <v>228</v>
      </c>
      <c r="C66" t="s">
        <v>229</v>
      </c>
    </row>
    <row r="67" spans="1:3" x14ac:dyDescent="0.3">
      <c r="A67" t="s">
        <v>947</v>
      </c>
      <c r="B67" t="s">
        <v>558</v>
      </c>
      <c r="C67" t="s">
        <v>559</v>
      </c>
    </row>
    <row r="68" spans="1:3" x14ac:dyDescent="0.3">
      <c r="A68" t="s">
        <v>948</v>
      </c>
      <c r="B68" t="s">
        <v>560</v>
      </c>
      <c r="C68" t="s">
        <v>561</v>
      </c>
    </row>
    <row r="69" spans="1:3" x14ac:dyDescent="0.3">
      <c r="A69" t="s">
        <v>949</v>
      </c>
      <c r="B69" t="s">
        <v>590</v>
      </c>
      <c r="C69" t="s">
        <v>591</v>
      </c>
    </row>
    <row r="70" spans="1:3" x14ac:dyDescent="0.3">
      <c r="A70" t="s">
        <v>950</v>
      </c>
      <c r="B70" t="s">
        <v>638</v>
      </c>
      <c r="C70" t="s">
        <v>639</v>
      </c>
    </row>
    <row r="71" spans="1:3" x14ac:dyDescent="0.3">
      <c r="A71" t="s">
        <v>951</v>
      </c>
      <c r="B71" t="s">
        <v>299</v>
      </c>
      <c r="C71" t="s">
        <v>300</v>
      </c>
    </row>
    <row r="72" spans="1:3" x14ac:dyDescent="0.3">
      <c r="A72" t="s">
        <v>952</v>
      </c>
      <c r="B72" t="s">
        <v>660</v>
      </c>
      <c r="C72" t="s">
        <v>661</v>
      </c>
    </row>
    <row r="73" spans="1:3" x14ac:dyDescent="0.3">
      <c r="A73" t="s">
        <v>953</v>
      </c>
      <c r="B73" t="s">
        <v>539</v>
      </c>
      <c r="C73" t="s">
        <v>540</v>
      </c>
    </row>
    <row r="74" spans="1:3" x14ac:dyDescent="0.3">
      <c r="A74" t="s">
        <v>954</v>
      </c>
      <c r="B74" t="s">
        <v>483</v>
      </c>
      <c r="C74" t="s">
        <v>484</v>
      </c>
    </row>
    <row r="75" spans="1:3" x14ac:dyDescent="0.3">
      <c r="A75" t="s">
        <v>955</v>
      </c>
      <c r="B75" t="s">
        <v>403</v>
      </c>
      <c r="C75" t="s">
        <v>404</v>
      </c>
    </row>
    <row r="76" spans="1:3" x14ac:dyDescent="0.3">
      <c r="A76" t="s">
        <v>956</v>
      </c>
      <c r="B76" t="s">
        <v>256</v>
      </c>
      <c r="C76" t="s">
        <v>257</v>
      </c>
    </row>
    <row r="77" spans="1:3" x14ac:dyDescent="0.3">
      <c r="A77" t="s">
        <v>957</v>
      </c>
      <c r="B77" t="s">
        <v>580</v>
      </c>
      <c r="C77" t="s">
        <v>581</v>
      </c>
    </row>
    <row r="78" spans="1:3" x14ac:dyDescent="0.3">
      <c r="A78" t="s">
        <v>958</v>
      </c>
      <c r="B78" t="s">
        <v>521</v>
      </c>
      <c r="C78" t="s">
        <v>522</v>
      </c>
    </row>
    <row r="79" spans="1:3" x14ac:dyDescent="0.3">
      <c r="A79" t="s">
        <v>959</v>
      </c>
      <c r="B79" t="s">
        <v>680</v>
      </c>
      <c r="C79" t="s">
        <v>681</v>
      </c>
    </row>
    <row r="80" spans="1:3" x14ac:dyDescent="0.3">
      <c r="A80" t="s">
        <v>960</v>
      </c>
      <c r="B80" t="s">
        <v>417</v>
      </c>
      <c r="C80" t="s">
        <v>418</v>
      </c>
    </row>
    <row r="81" spans="1:3" x14ac:dyDescent="0.3">
      <c r="A81" t="s">
        <v>961</v>
      </c>
      <c r="B81" t="s">
        <v>495</v>
      </c>
      <c r="C81" t="s">
        <v>496</v>
      </c>
    </row>
    <row r="82" spans="1:3" x14ac:dyDescent="0.3">
      <c r="A82" t="s">
        <v>962</v>
      </c>
      <c r="B82" t="s">
        <v>568</v>
      </c>
      <c r="C82" t="s">
        <v>569</v>
      </c>
    </row>
    <row r="83" spans="1:3" x14ac:dyDescent="0.3">
      <c r="A83" t="s">
        <v>963</v>
      </c>
      <c r="B83" t="s">
        <v>497</v>
      </c>
      <c r="C83" t="s">
        <v>498</v>
      </c>
    </row>
    <row r="84" spans="1:3" x14ac:dyDescent="0.3">
      <c r="A84" t="s">
        <v>964</v>
      </c>
      <c r="B84" t="s">
        <v>89</v>
      </c>
      <c r="C84" t="s">
        <v>90</v>
      </c>
    </row>
    <row r="85" spans="1:3" x14ac:dyDescent="0.3">
      <c r="A85" t="s">
        <v>965</v>
      </c>
      <c r="B85" t="s">
        <v>441</v>
      </c>
      <c r="C85" t="s">
        <v>442</v>
      </c>
    </row>
    <row r="86" spans="1:3" x14ac:dyDescent="0.3">
      <c r="A86" t="s">
        <v>966</v>
      </c>
      <c r="B86" t="s">
        <v>187</v>
      </c>
      <c r="C86" t="s">
        <v>188</v>
      </c>
    </row>
    <row r="87" spans="1:3" x14ac:dyDescent="0.3">
      <c r="A87" t="s">
        <v>967</v>
      </c>
      <c r="B87" t="s">
        <v>678</v>
      </c>
      <c r="C87" t="s">
        <v>679</v>
      </c>
    </row>
    <row r="88" spans="1:3" x14ac:dyDescent="0.3">
      <c r="A88" t="s">
        <v>968</v>
      </c>
      <c r="B88" t="s">
        <v>622</v>
      </c>
      <c r="C88" t="s">
        <v>623</v>
      </c>
    </row>
    <row r="89" spans="1:3" x14ac:dyDescent="0.3">
      <c r="A89" t="s">
        <v>969</v>
      </c>
      <c r="B89" t="s">
        <v>345</v>
      </c>
      <c r="C89" t="s">
        <v>346</v>
      </c>
    </row>
    <row r="90" spans="1:3" x14ac:dyDescent="0.3">
      <c r="A90" t="s">
        <v>970</v>
      </c>
      <c r="B90" t="s">
        <v>367</v>
      </c>
      <c r="C90" t="s">
        <v>368</v>
      </c>
    </row>
    <row r="91" spans="1:3" x14ac:dyDescent="0.3">
      <c r="A91" t="s">
        <v>971</v>
      </c>
      <c r="B91" t="s">
        <v>425</v>
      </c>
      <c r="C91" t="s">
        <v>426</v>
      </c>
    </row>
    <row r="92" spans="1:3" x14ac:dyDescent="0.3">
      <c r="A92" t="s">
        <v>972</v>
      </c>
      <c r="B92" t="s">
        <v>244</v>
      </c>
      <c r="C92" t="s">
        <v>245</v>
      </c>
    </row>
    <row r="93" spans="1:3" x14ac:dyDescent="0.3">
      <c r="A93" t="s">
        <v>973</v>
      </c>
      <c r="B93" t="s">
        <v>395</v>
      </c>
      <c r="C93" t="s">
        <v>396</v>
      </c>
    </row>
    <row r="94" spans="1:3" x14ac:dyDescent="0.3">
      <c r="A94" t="s">
        <v>974</v>
      </c>
      <c r="B94" t="s">
        <v>149</v>
      </c>
      <c r="C94" t="s">
        <v>150</v>
      </c>
    </row>
    <row r="95" spans="1:3" x14ac:dyDescent="0.3">
      <c r="A95" t="s">
        <v>975</v>
      </c>
      <c r="B95" t="s">
        <v>337</v>
      </c>
      <c r="C95" t="s">
        <v>338</v>
      </c>
    </row>
    <row r="96" spans="1:3" x14ac:dyDescent="0.3">
      <c r="A96" t="s">
        <v>976</v>
      </c>
      <c r="B96" t="s">
        <v>461</v>
      </c>
      <c r="C96" t="s">
        <v>462</v>
      </c>
    </row>
    <row r="97" spans="1:3" x14ac:dyDescent="0.3">
      <c r="A97" t="s">
        <v>977</v>
      </c>
      <c r="B97" t="s">
        <v>161</v>
      </c>
      <c r="C97" t="s">
        <v>162</v>
      </c>
    </row>
    <row r="98" spans="1:3" x14ac:dyDescent="0.3">
      <c r="A98" t="s">
        <v>978</v>
      </c>
      <c r="B98" t="s">
        <v>266</v>
      </c>
      <c r="C98" t="s">
        <v>267</v>
      </c>
    </row>
    <row r="99" spans="1:3" x14ac:dyDescent="0.3">
      <c r="A99" t="s">
        <v>979</v>
      </c>
      <c r="B99" t="s">
        <v>537</v>
      </c>
      <c r="C99" t="s">
        <v>538</v>
      </c>
    </row>
    <row r="100" spans="1:3" x14ac:dyDescent="0.3">
      <c r="A100" t="s">
        <v>980</v>
      </c>
      <c r="B100" t="s">
        <v>578</v>
      </c>
      <c r="C100" t="s">
        <v>579</v>
      </c>
    </row>
    <row r="101" spans="1:3" x14ac:dyDescent="0.3">
      <c r="A101" t="s">
        <v>981</v>
      </c>
      <c r="B101" t="s">
        <v>327</v>
      </c>
      <c r="C101" t="s">
        <v>328</v>
      </c>
    </row>
    <row r="102" spans="1:3" x14ac:dyDescent="0.3">
      <c r="A102" t="s">
        <v>982</v>
      </c>
      <c r="B102" t="s">
        <v>179</v>
      </c>
      <c r="C102" t="s">
        <v>180</v>
      </c>
    </row>
    <row r="103" spans="1:3" x14ac:dyDescent="0.3">
      <c r="A103" t="s">
        <v>983</v>
      </c>
      <c r="B103" t="s">
        <v>427</v>
      </c>
      <c r="C103" t="s">
        <v>428</v>
      </c>
    </row>
    <row r="104" spans="1:3" x14ac:dyDescent="0.3">
      <c r="A104" t="s">
        <v>984</v>
      </c>
      <c r="B104" t="s">
        <v>489</v>
      </c>
      <c r="C104" t="s">
        <v>490</v>
      </c>
    </row>
    <row r="105" spans="1:3" x14ac:dyDescent="0.3">
      <c r="A105" t="s">
        <v>985</v>
      </c>
      <c r="B105" t="s">
        <v>465</v>
      </c>
      <c r="C105" t="s">
        <v>466</v>
      </c>
    </row>
    <row r="106" spans="1:3" x14ac:dyDescent="0.3">
      <c r="A106" t="s">
        <v>986</v>
      </c>
      <c r="B106" t="s">
        <v>97</v>
      </c>
      <c r="C106" t="s">
        <v>98</v>
      </c>
    </row>
    <row r="107" spans="1:3" x14ac:dyDescent="0.3">
      <c r="A107" t="s">
        <v>987</v>
      </c>
      <c r="B107" t="s">
        <v>644</v>
      </c>
      <c r="C107" t="s">
        <v>645</v>
      </c>
    </row>
    <row r="108" spans="1:3" x14ac:dyDescent="0.3">
      <c r="A108" t="s">
        <v>988</v>
      </c>
      <c r="B108" t="s">
        <v>556</v>
      </c>
      <c r="C108" t="s">
        <v>557</v>
      </c>
    </row>
    <row r="109" spans="1:3" x14ac:dyDescent="0.3">
      <c r="A109" t="s">
        <v>989</v>
      </c>
      <c r="B109" t="s">
        <v>620</v>
      </c>
      <c r="C109" t="s">
        <v>621</v>
      </c>
    </row>
    <row r="110" spans="1:3" x14ac:dyDescent="0.3">
      <c r="A110" t="s">
        <v>990</v>
      </c>
      <c r="B110" t="s">
        <v>143</v>
      </c>
      <c r="C110" t="s">
        <v>144</v>
      </c>
    </row>
    <row r="111" spans="1:3" x14ac:dyDescent="0.3">
      <c r="A111" t="s">
        <v>991</v>
      </c>
      <c r="B111" t="s">
        <v>642</v>
      </c>
      <c r="C111" t="s">
        <v>643</v>
      </c>
    </row>
    <row r="112" spans="1:3" x14ac:dyDescent="0.3">
      <c r="A112" t="s">
        <v>992</v>
      </c>
      <c r="B112" t="s">
        <v>73</v>
      </c>
      <c r="C112" t="s">
        <v>74</v>
      </c>
    </row>
    <row r="113" spans="1:3" x14ac:dyDescent="0.3">
      <c r="A113" t="s">
        <v>993</v>
      </c>
      <c r="B113" t="s">
        <v>195</v>
      </c>
      <c r="C113" t="s">
        <v>196</v>
      </c>
    </row>
    <row r="114" spans="1:3" x14ac:dyDescent="0.3">
      <c r="A114" t="s">
        <v>994</v>
      </c>
      <c r="B114" t="s">
        <v>570</v>
      </c>
      <c r="C114" t="s">
        <v>571</v>
      </c>
    </row>
    <row r="115" spans="1:3" x14ac:dyDescent="0.3">
      <c r="A115" t="s">
        <v>995</v>
      </c>
      <c r="B115" t="s">
        <v>309</v>
      </c>
      <c r="C115" t="s">
        <v>310</v>
      </c>
    </row>
    <row r="116" spans="1:3" x14ac:dyDescent="0.3">
      <c r="A116" t="s">
        <v>996</v>
      </c>
      <c r="B116" t="s">
        <v>87</v>
      </c>
      <c r="C116" t="s">
        <v>88</v>
      </c>
    </row>
    <row r="117" spans="1:3" x14ac:dyDescent="0.3">
      <c r="A117" t="s">
        <v>997</v>
      </c>
      <c r="B117" t="s">
        <v>562</v>
      </c>
      <c r="C117" t="s">
        <v>563</v>
      </c>
    </row>
    <row r="118" spans="1:3" x14ac:dyDescent="0.3">
      <c r="A118" t="s">
        <v>998</v>
      </c>
      <c r="B118" t="s">
        <v>262</v>
      </c>
      <c r="C118" t="s">
        <v>263</v>
      </c>
    </row>
    <row r="119" spans="1:3" x14ac:dyDescent="0.3">
      <c r="A119" t="s">
        <v>999</v>
      </c>
      <c r="B119" t="s">
        <v>505</v>
      </c>
      <c r="C119" t="s">
        <v>506</v>
      </c>
    </row>
    <row r="120" spans="1:3" x14ac:dyDescent="0.3">
      <c r="A120" t="s">
        <v>1000</v>
      </c>
      <c r="B120" t="s">
        <v>533</v>
      </c>
      <c r="C120" t="s">
        <v>534</v>
      </c>
    </row>
    <row r="121" spans="1:3" x14ac:dyDescent="0.3">
      <c r="A121" t="s">
        <v>1001</v>
      </c>
      <c r="B121" t="s">
        <v>260</v>
      </c>
      <c r="C121" t="s">
        <v>261</v>
      </c>
    </row>
    <row r="122" spans="1:3" x14ac:dyDescent="0.3">
      <c r="A122" t="s">
        <v>1002</v>
      </c>
      <c r="B122" t="s">
        <v>215</v>
      </c>
      <c r="C122" t="s">
        <v>216</v>
      </c>
    </row>
    <row r="123" spans="1:3" x14ac:dyDescent="0.3">
      <c r="A123" t="s">
        <v>1003</v>
      </c>
      <c r="B123" t="s">
        <v>293</v>
      </c>
      <c r="C123" t="s">
        <v>294</v>
      </c>
    </row>
    <row r="124" spans="1:3" x14ac:dyDescent="0.3">
      <c r="A124" t="s">
        <v>1004</v>
      </c>
      <c r="B124" t="s">
        <v>223</v>
      </c>
      <c r="C124" t="s">
        <v>156</v>
      </c>
    </row>
    <row r="125" spans="1:3" x14ac:dyDescent="0.3">
      <c r="A125" t="s">
        <v>1005</v>
      </c>
      <c r="B125" t="s">
        <v>347</v>
      </c>
      <c r="C125" t="s">
        <v>348</v>
      </c>
    </row>
    <row r="126" spans="1:3" x14ac:dyDescent="0.3">
      <c r="A126" t="s">
        <v>1006</v>
      </c>
      <c r="B126" t="s">
        <v>323</v>
      </c>
      <c r="C126" t="s">
        <v>324</v>
      </c>
    </row>
    <row r="127" spans="1:3" x14ac:dyDescent="0.3">
      <c r="A127" t="s">
        <v>1007</v>
      </c>
      <c r="B127" t="s">
        <v>634</v>
      </c>
      <c r="C127" t="s">
        <v>635</v>
      </c>
    </row>
    <row r="128" spans="1:3" x14ac:dyDescent="0.3">
      <c r="A128" t="s">
        <v>1008</v>
      </c>
      <c r="B128" t="s">
        <v>682</v>
      </c>
      <c r="C128" t="s">
        <v>683</v>
      </c>
    </row>
    <row r="129" spans="1:3" x14ac:dyDescent="0.3">
      <c r="A129" t="s">
        <v>1009</v>
      </c>
      <c r="B129" t="s">
        <v>588</v>
      </c>
      <c r="C129" t="s">
        <v>589</v>
      </c>
    </row>
    <row r="130" spans="1:3" x14ac:dyDescent="0.3">
      <c r="A130" t="s">
        <v>1010</v>
      </c>
      <c r="B130" t="s">
        <v>315</v>
      </c>
      <c r="C130" t="s">
        <v>316</v>
      </c>
    </row>
    <row r="131" spans="1:3" x14ac:dyDescent="0.3">
      <c r="A131" t="s">
        <v>1011</v>
      </c>
      <c r="B131" t="s">
        <v>666</v>
      </c>
      <c r="C131" t="s">
        <v>667</v>
      </c>
    </row>
    <row r="132" spans="1:3" x14ac:dyDescent="0.3">
      <c r="A132" t="s">
        <v>1012</v>
      </c>
      <c r="B132" t="s">
        <v>545</v>
      </c>
      <c r="C132" t="s">
        <v>546</v>
      </c>
    </row>
    <row r="133" spans="1:3" x14ac:dyDescent="0.3">
      <c r="A133" t="s">
        <v>1013</v>
      </c>
      <c r="B133" t="s">
        <v>594</v>
      </c>
      <c r="C133" t="s">
        <v>595</v>
      </c>
    </row>
    <row r="134" spans="1:3" x14ac:dyDescent="0.3">
      <c r="A134" t="s">
        <v>1014</v>
      </c>
      <c r="B134" t="s">
        <v>355</v>
      </c>
      <c r="C134" t="s">
        <v>356</v>
      </c>
    </row>
    <row r="135" spans="1:3" x14ac:dyDescent="0.3">
      <c r="A135" t="s">
        <v>1015</v>
      </c>
      <c r="B135" t="s">
        <v>383</v>
      </c>
      <c r="C135" t="s">
        <v>384</v>
      </c>
    </row>
    <row r="136" spans="1:3" x14ac:dyDescent="0.3">
      <c r="A136" t="s">
        <v>1016</v>
      </c>
      <c r="B136" t="s">
        <v>135</v>
      </c>
      <c r="C136" t="s">
        <v>136</v>
      </c>
    </row>
    <row r="137" spans="1:3" x14ac:dyDescent="0.3">
      <c r="A137" t="s">
        <v>1017</v>
      </c>
      <c r="B137" t="s">
        <v>554</v>
      </c>
      <c r="C137" t="s">
        <v>555</v>
      </c>
    </row>
    <row r="138" spans="1:3" x14ac:dyDescent="0.3">
      <c r="A138" t="s">
        <v>1018</v>
      </c>
      <c r="B138" t="s">
        <v>230</v>
      </c>
      <c r="C138" t="s">
        <v>231</v>
      </c>
    </row>
    <row r="139" spans="1:3" x14ac:dyDescent="0.3">
      <c r="A139" t="s">
        <v>1019</v>
      </c>
      <c r="B139" t="s">
        <v>547</v>
      </c>
      <c r="C139" t="s">
        <v>548</v>
      </c>
    </row>
    <row r="140" spans="1:3" x14ac:dyDescent="0.3">
      <c r="A140" t="s">
        <v>1020</v>
      </c>
      <c r="B140" t="s">
        <v>610</v>
      </c>
      <c r="C140" t="s">
        <v>611</v>
      </c>
    </row>
    <row r="141" spans="1:3" x14ac:dyDescent="0.3">
      <c r="A141" t="s">
        <v>1021</v>
      </c>
      <c r="B141" t="s">
        <v>232</v>
      </c>
      <c r="C141" t="s">
        <v>233</v>
      </c>
    </row>
    <row r="142" spans="1:3" x14ac:dyDescent="0.3">
      <c r="A142" t="s">
        <v>1022</v>
      </c>
      <c r="B142" t="s">
        <v>75</v>
      </c>
      <c r="C142" t="s">
        <v>76</v>
      </c>
    </row>
    <row r="143" spans="1:3" x14ac:dyDescent="0.3">
      <c r="A143" t="s">
        <v>1023</v>
      </c>
      <c r="B143" t="s">
        <v>199</v>
      </c>
      <c r="C143" t="s">
        <v>200</v>
      </c>
    </row>
    <row r="144" spans="1:3" x14ac:dyDescent="0.3">
      <c r="A144" t="s">
        <v>1024</v>
      </c>
      <c r="B144" t="s">
        <v>113</v>
      </c>
      <c r="C144" t="s">
        <v>114</v>
      </c>
    </row>
    <row r="145" spans="1:3" x14ac:dyDescent="0.3">
      <c r="A145" t="s">
        <v>1025</v>
      </c>
      <c r="B145" t="s">
        <v>457</v>
      </c>
      <c r="C145" t="s">
        <v>458</v>
      </c>
    </row>
    <row r="146" spans="1:3" x14ac:dyDescent="0.3">
      <c r="A146" t="s">
        <v>1026</v>
      </c>
      <c r="B146" t="s">
        <v>119</v>
      </c>
      <c r="C146" t="s">
        <v>120</v>
      </c>
    </row>
    <row r="147" spans="1:3" x14ac:dyDescent="0.3">
      <c r="A147" t="s">
        <v>1027</v>
      </c>
      <c r="B147" t="s">
        <v>339</v>
      </c>
      <c r="C147" t="s">
        <v>340</v>
      </c>
    </row>
    <row r="148" spans="1:3" x14ac:dyDescent="0.3">
      <c r="A148" t="s">
        <v>1028</v>
      </c>
      <c r="B148" t="s">
        <v>375</v>
      </c>
      <c r="C148" t="s">
        <v>376</v>
      </c>
    </row>
    <row r="149" spans="1:3" x14ac:dyDescent="0.3">
      <c r="A149" t="s">
        <v>1029</v>
      </c>
      <c r="B149" t="s">
        <v>353</v>
      </c>
      <c r="C149" t="s">
        <v>354</v>
      </c>
    </row>
    <row r="150" spans="1:3" x14ac:dyDescent="0.3">
      <c r="A150" t="s">
        <v>1030</v>
      </c>
      <c r="B150" t="s">
        <v>618</v>
      </c>
      <c r="C150" t="s">
        <v>619</v>
      </c>
    </row>
    <row r="151" spans="1:3" x14ac:dyDescent="0.3">
      <c r="A151" t="s">
        <v>1031</v>
      </c>
      <c r="B151" t="s">
        <v>433</v>
      </c>
      <c r="C151" t="s">
        <v>434</v>
      </c>
    </row>
    <row r="152" spans="1:3" x14ac:dyDescent="0.3">
      <c r="A152" t="s">
        <v>1032</v>
      </c>
      <c r="B152" t="s">
        <v>694</v>
      </c>
      <c r="C152" t="s">
        <v>695</v>
      </c>
    </row>
    <row r="153" spans="1:3" x14ac:dyDescent="0.3">
      <c r="A153" t="s">
        <v>1033</v>
      </c>
      <c r="B153" t="s">
        <v>574</v>
      </c>
      <c r="C153" t="s">
        <v>575</v>
      </c>
    </row>
    <row r="154" spans="1:3" x14ac:dyDescent="0.3">
      <c r="A154" t="s">
        <v>1034</v>
      </c>
      <c r="B154" t="s">
        <v>280</v>
      </c>
      <c r="C154" t="s">
        <v>281</v>
      </c>
    </row>
    <row r="155" spans="1:3" x14ac:dyDescent="0.3">
      <c r="A155" t="s">
        <v>1035</v>
      </c>
      <c r="B155" t="s">
        <v>131</v>
      </c>
      <c r="C155" t="s">
        <v>132</v>
      </c>
    </row>
    <row r="156" spans="1:3" x14ac:dyDescent="0.3">
      <c r="A156" t="s">
        <v>1036</v>
      </c>
      <c r="B156" t="s">
        <v>477</v>
      </c>
      <c r="C156" t="s">
        <v>478</v>
      </c>
    </row>
    <row r="157" spans="1:3" x14ac:dyDescent="0.3">
      <c r="A157" t="s">
        <v>1037</v>
      </c>
      <c r="B157" t="s">
        <v>676</v>
      </c>
      <c r="C157" t="s">
        <v>677</v>
      </c>
    </row>
    <row r="158" spans="1:3" x14ac:dyDescent="0.3">
      <c r="A158" t="s">
        <v>1038</v>
      </c>
      <c r="B158" t="s">
        <v>385</v>
      </c>
      <c r="C158" t="s">
        <v>386</v>
      </c>
    </row>
    <row r="159" spans="1:3" x14ac:dyDescent="0.3">
      <c r="A159" t="s">
        <v>1039</v>
      </c>
      <c r="B159" t="s">
        <v>632</v>
      </c>
      <c r="C159" t="s">
        <v>633</v>
      </c>
    </row>
    <row r="160" spans="1:3" x14ac:dyDescent="0.3">
      <c r="A160" t="s">
        <v>1040</v>
      </c>
      <c r="B160" t="s">
        <v>282</v>
      </c>
      <c r="C160" t="s">
        <v>283</v>
      </c>
    </row>
    <row r="161" spans="1:3" x14ac:dyDescent="0.3">
      <c r="A161" t="s">
        <v>1041</v>
      </c>
      <c r="B161" t="s">
        <v>469</v>
      </c>
      <c r="C161" t="s">
        <v>470</v>
      </c>
    </row>
    <row r="162" spans="1:3" x14ac:dyDescent="0.3">
      <c r="A162" t="s">
        <v>1042</v>
      </c>
      <c r="B162" t="s">
        <v>183</v>
      </c>
      <c r="C162" t="s">
        <v>184</v>
      </c>
    </row>
    <row r="163" spans="1:3" x14ac:dyDescent="0.3">
      <c r="A163" t="s">
        <v>1043</v>
      </c>
      <c r="B163" t="s">
        <v>515</v>
      </c>
      <c r="C163" t="s">
        <v>516</v>
      </c>
    </row>
    <row r="164" spans="1:3" x14ac:dyDescent="0.3">
      <c r="A164" t="s">
        <v>1044</v>
      </c>
      <c r="B164" t="s">
        <v>205</v>
      </c>
      <c r="C164" t="s">
        <v>206</v>
      </c>
    </row>
    <row r="165" spans="1:3" x14ac:dyDescent="0.3">
      <c r="A165" t="s">
        <v>1045</v>
      </c>
      <c r="B165" t="s">
        <v>612</v>
      </c>
      <c r="C165" t="s">
        <v>613</v>
      </c>
    </row>
    <row r="166" spans="1:3" x14ac:dyDescent="0.3">
      <c r="A166" t="s">
        <v>1046</v>
      </c>
      <c r="B166" t="s">
        <v>101</v>
      </c>
      <c r="C166" t="s">
        <v>102</v>
      </c>
    </row>
    <row r="167" spans="1:3" x14ac:dyDescent="0.3">
      <c r="A167" t="s">
        <v>1047</v>
      </c>
      <c r="B167" t="s">
        <v>582</v>
      </c>
      <c r="C167" t="s">
        <v>583</v>
      </c>
    </row>
    <row r="168" spans="1:3" x14ac:dyDescent="0.3">
      <c r="A168" t="s">
        <v>1048</v>
      </c>
      <c r="B168" t="s">
        <v>702</v>
      </c>
      <c r="C168" t="s">
        <v>703</v>
      </c>
    </row>
    <row r="169" spans="1:3" x14ac:dyDescent="0.3">
      <c r="A169" t="s">
        <v>1049</v>
      </c>
      <c r="B169" t="s">
        <v>270</v>
      </c>
      <c r="C169" t="s">
        <v>271</v>
      </c>
    </row>
    <row r="170" spans="1:3" x14ac:dyDescent="0.3">
      <c r="A170" t="s">
        <v>1050</v>
      </c>
      <c r="B170" t="s">
        <v>415</v>
      </c>
      <c r="C170" t="s">
        <v>416</v>
      </c>
    </row>
    <row r="171" spans="1:3" x14ac:dyDescent="0.3">
      <c r="A171" t="s">
        <v>1051</v>
      </c>
      <c r="B171" t="s">
        <v>499</v>
      </c>
      <c r="C171" t="s">
        <v>500</v>
      </c>
    </row>
    <row r="172" spans="1:3" x14ac:dyDescent="0.3">
      <c r="A172" t="s">
        <v>1052</v>
      </c>
      <c r="B172" t="s">
        <v>103</v>
      </c>
      <c r="C172" t="s">
        <v>104</v>
      </c>
    </row>
    <row r="173" spans="1:3" x14ac:dyDescent="0.3">
      <c r="A173" t="s">
        <v>1053</v>
      </c>
      <c r="B173" t="s">
        <v>272</v>
      </c>
      <c r="C173" t="s">
        <v>273</v>
      </c>
    </row>
    <row r="174" spans="1:3" x14ac:dyDescent="0.3">
      <c r="A174" t="s">
        <v>1054</v>
      </c>
      <c r="B174" t="s">
        <v>445</v>
      </c>
      <c r="C174" t="s">
        <v>446</v>
      </c>
    </row>
    <row r="175" spans="1:3" x14ac:dyDescent="0.3">
      <c r="A175" t="s">
        <v>1055</v>
      </c>
      <c r="B175" t="s">
        <v>129</v>
      </c>
      <c r="C175" t="s">
        <v>130</v>
      </c>
    </row>
    <row r="176" spans="1:3" x14ac:dyDescent="0.3">
      <c r="A176" t="s">
        <v>1056</v>
      </c>
      <c r="B176" t="s">
        <v>301</v>
      </c>
      <c r="C176" t="s">
        <v>302</v>
      </c>
    </row>
    <row r="177" spans="1:3" x14ac:dyDescent="0.3">
      <c r="A177" t="s">
        <v>1057</v>
      </c>
      <c r="B177" t="s">
        <v>357</v>
      </c>
      <c r="C177" t="s">
        <v>358</v>
      </c>
    </row>
    <row r="178" spans="1:3" x14ac:dyDescent="0.3">
      <c r="A178" t="s">
        <v>1058</v>
      </c>
      <c r="B178" t="s">
        <v>125</v>
      </c>
      <c r="C178" t="s">
        <v>126</v>
      </c>
    </row>
    <row r="179" spans="1:3" x14ac:dyDescent="0.3">
      <c r="A179" t="s">
        <v>1059</v>
      </c>
      <c r="B179" t="s">
        <v>276</v>
      </c>
      <c r="C179" t="s">
        <v>277</v>
      </c>
    </row>
    <row r="180" spans="1:3" x14ac:dyDescent="0.3">
      <c r="A180" t="s">
        <v>1060</v>
      </c>
      <c r="B180" t="s">
        <v>706</v>
      </c>
      <c r="C180" t="s">
        <v>707</v>
      </c>
    </row>
    <row r="181" spans="1:3" x14ac:dyDescent="0.3">
      <c r="A181" t="s">
        <v>1061</v>
      </c>
      <c r="B181" t="s">
        <v>692</v>
      </c>
      <c r="C181" t="s">
        <v>693</v>
      </c>
    </row>
    <row r="182" spans="1:3" x14ac:dyDescent="0.3">
      <c r="A182" t="s">
        <v>1062</v>
      </c>
      <c r="B182" t="s">
        <v>650</v>
      </c>
      <c r="C182" t="s">
        <v>651</v>
      </c>
    </row>
    <row r="183" spans="1:3" x14ac:dyDescent="0.3">
      <c r="A183" t="s">
        <v>1063</v>
      </c>
      <c r="B183" t="s">
        <v>487</v>
      </c>
      <c r="C183" t="s">
        <v>488</v>
      </c>
    </row>
    <row r="184" spans="1:3" x14ac:dyDescent="0.3">
      <c r="A184" t="s">
        <v>1064</v>
      </c>
      <c r="B184" t="s">
        <v>287</v>
      </c>
      <c r="C184" t="s">
        <v>288</v>
      </c>
    </row>
    <row r="185" spans="1:3" x14ac:dyDescent="0.3">
      <c r="A185" t="s">
        <v>1065</v>
      </c>
      <c r="B185" t="s">
        <v>531</v>
      </c>
      <c r="C185" t="s">
        <v>532</v>
      </c>
    </row>
    <row r="186" spans="1:3" x14ac:dyDescent="0.3">
      <c r="A186" t="s">
        <v>1066</v>
      </c>
      <c r="B186" t="s">
        <v>628</v>
      </c>
      <c r="C186" t="s">
        <v>629</v>
      </c>
    </row>
    <row r="187" spans="1:3" x14ac:dyDescent="0.3">
      <c r="A187" t="s">
        <v>1067</v>
      </c>
      <c r="B187" t="s">
        <v>165</v>
      </c>
      <c r="C187" t="s">
        <v>166</v>
      </c>
    </row>
    <row r="188" spans="1:3" x14ac:dyDescent="0.3">
      <c r="A188" t="s">
        <v>1068</v>
      </c>
      <c r="B188" t="s">
        <v>592</v>
      </c>
      <c r="C188" t="s">
        <v>593</v>
      </c>
    </row>
    <row r="189" spans="1:3" x14ac:dyDescent="0.3">
      <c r="A189" t="s">
        <v>1069</v>
      </c>
      <c r="B189" t="s">
        <v>419</v>
      </c>
      <c r="C189" t="s">
        <v>420</v>
      </c>
    </row>
    <row r="190" spans="1:3" x14ac:dyDescent="0.3">
      <c r="A190" t="s">
        <v>1070</v>
      </c>
      <c r="B190" t="s">
        <v>602</v>
      </c>
      <c r="C190" t="s">
        <v>603</v>
      </c>
    </row>
    <row r="191" spans="1:3" x14ac:dyDescent="0.3">
      <c r="A191" t="s">
        <v>1071</v>
      </c>
      <c r="B191" t="s">
        <v>652</v>
      </c>
      <c r="C191" t="s">
        <v>653</v>
      </c>
    </row>
    <row r="192" spans="1:3" x14ac:dyDescent="0.3">
      <c r="A192" t="s">
        <v>1072</v>
      </c>
      <c r="B192" t="s">
        <v>604</v>
      </c>
      <c r="C192" t="s">
        <v>605</v>
      </c>
    </row>
    <row r="193" spans="1:3" x14ac:dyDescent="0.3">
      <c r="A193" t="s">
        <v>1073</v>
      </c>
      <c r="B193" t="s">
        <v>598</v>
      </c>
      <c r="C193" t="s">
        <v>599</v>
      </c>
    </row>
    <row r="194" spans="1:3" x14ac:dyDescent="0.3">
      <c r="A194" t="s">
        <v>1074</v>
      </c>
      <c r="B194" t="s">
        <v>471</v>
      </c>
      <c r="C194" t="s">
        <v>472</v>
      </c>
    </row>
    <row r="195" spans="1:3" x14ac:dyDescent="0.3">
      <c r="A195" t="s">
        <v>1075</v>
      </c>
      <c r="B195" t="s">
        <v>365</v>
      </c>
      <c r="C195" t="s">
        <v>366</v>
      </c>
    </row>
    <row r="196" spans="1:3" x14ac:dyDescent="0.3">
      <c r="A196" t="s">
        <v>1076</v>
      </c>
      <c r="B196" t="s">
        <v>123</v>
      </c>
      <c r="C196" t="s">
        <v>124</v>
      </c>
    </row>
    <row r="197" spans="1:3" x14ac:dyDescent="0.3">
      <c r="A197" t="s">
        <v>1077</v>
      </c>
      <c r="B197" t="s">
        <v>95</v>
      </c>
      <c r="C197" t="s">
        <v>96</v>
      </c>
    </row>
    <row r="198" spans="1:3" x14ac:dyDescent="0.3">
      <c r="A198" t="s">
        <v>1078</v>
      </c>
      <c r="B198" t="s">
        <v>325</v>
      </c>
      <c r="C198" t="s">
        <v>326</v>
      </c>
    </row>
    <row r="199" spans="1:3" x14ac:dyDescent="0.3">
      <c r="A199" t="s">
        <v>1079</v>
      </c>
      <c r="B199" t="s">
        <v>81</v>
      </c>
      <c r="C199" t="s">
        <v>82</v>
      </c>
    </row>
    <row r="200" spans="1:3" x14ac:dyDescent="0.3">
      <c r="A200" t="s">
        <v>1080</v>
      </c>
      <c r="B200" t="s">
        <v>79</v>
      </c>
      <c r="C200" t="s">
        <v>80</v>
      </c>
    </row>
    <row r="201" spans="1:3" x14ac:dyDescent="0.3">
      <c r="A201" t="s">
        <v>1081</v>
      </c>
      <c r="B201" t="s">
        <v>664</v>
      </c>
      <c r="C201" t="s">
        <v>665</v>
      </c>
    </row>
    <row r="202" spans="1:3" x14ac:dyDescent="0.3">
      <c r="A202" t="s">
        <v>1082</v>
      </c>
      <c r="B202" t="s">
        <v>668</v>
      </c>
      <c r="C202" t="s">
        <v>669</v>
      </c>
    </row>
    <row r="203" spans="1:3" x14ac:dyDescent="0.3">
      <c r="A203" t="s">
        <v>1083</v>
      </c>
      <c r="B203" t="s">
        <v>305</v>
      </c>
      <c r="C203" t="s">
        <v>306</v>
      </c>
    </row>
    <row r="204" spans="1:3" x14ac:dyDescent="0.3">
      <c r="A204" t="s">
        <v>1084</v>
      </c>
      <c r="B204" t="s">
        <v>236</v>
      </c>
      <c r="C204" t="s">
        <v>237</v>
      </c>
    </row>
    <row r="205" spans="1:3" x14ac:dyDescent="0.3">
      <c r="A205" t="s">
        <v>1085</v>
      </c>
      <c r="B205" t="s">
        <v>614</v>
      </c>
      <c r="C205" t="s">
        <v>615</v>
      </c>
    </row>
    <row r="206" spans="1:3" x14ac:dyDescent="0.3">
      <c r="A206" t="s">
        <v>1086</v>
      </c>
      <c r="B206" t="s">
        <v>351</v>
      </c>
      <c r="C206" t="s">
        <v>352</v>
      </c>
    </row>
    <row r="207" spans="1:3" x14ac:dyDescent="0.3">
      <c r="A207" t="s">
        <v>1087</v>
      </c>
      <c r="B207" t="s">
        <v>185</v>
      </c>
      <c r="C207" t="s">
        <v>186</v>
      </c>
    </row>
    <row r="208" spans="1:3" x14ac:dyDescent="0.3">
      <c r="A208" t="s">
        <v>1088</v>
      </c>
      <c r="B208" t="s">
        <v>361</v>
      </c>
      <c r="C208" t="s">
        <v>362</v>
      </c>
    </row>
    <row r="209" spans="1:3" x14ac:dyDescent="0.3">
      <c r="A209" t="s">
        <v>1089</v>
      </c>
      <c r="B209" t="s">
        <v>564</v>
      </c>
      <c r="C209" t="s">
        <v>565</v>
      </c>
    </row>
    <row r="210" spans="1:3" x14ac:dyDescent="0.3">
      <c r="A210" t="s">
        <v>1090</v>
      </c>
      <c r="B210" t="s">
        <v>401</v>
      </c>
      <c r="C210" t="s">
        <v>402</v>
      </c>
    </row>
    <row r="211" spans="1:3" x14ac:dyDescent="0.3">
      <c r="A211" t="s">
        <v>1091</v>
      </c>
      <c r="B211" t="s">
        <v>85</v>
      </c>
      <c r="C211" t="s">
        <v>86</v>
      </c>
    </row>
    <row r="212" spans="1:3" x14ac:dyDescent="0.3">
      <c r="A212" t="s">
        <v>1092</v>
      </c>
      <c r="B212" t="s">
        <v>319</v>
      </c>
      <c r="C212" t="s">
        <v>320</v>
      </c>
    </row>
    <row r="213" spans="1:3" x14ac:dyDescent="0.3">
      <c r="A213" t="s">
        <v>1093</v>
      </c>
      <c r="B213" t="s">
        <v>479</v>
      </c>
      <c r="C213" t="s">
        <v>480</v>
      </c>
    </row>
    <row r="214" spans="1:3" x14ac:dyDescent="0.3">
      <c r="A214" t="s">
        <v>1094</v>
      </c>
      <c r="B214" t="s">
        <v>329</v>
      </c>
      <c r="C214" t="s">
        <v>330</v>
      </c>
    </row>
    <row r="215" spans="1:3" x14ac:dyDescent="0.3">
      <c r="A215" t="s">
        <v>1095</v>
      </c>
      <c r="B215" t="s">
        <v>543</v>
      </c>
      <c r="C215" t="s">
        <v>544</v>
      </c>
    </row>
    <row r="216" spans="1:3" x14ac:dyDescent="0.3">
      <c r="A216" t="s">
        <v>1096</v>
      </c>
      <c r="B216" t="s">
        <v>658</v>
      </c>
      <c r="C216" t="s">
        <v>659</v>
      </c>
    </row>
    <row r="217" spans="1:3" x14ac:dyDescent="0.3">
      <c r="A217" t="s">
        <v>1097</v>
      </c>
      <c r="B217" t="s">
        <v>576</v>
      </c>
      <c r="C217" t="s">
        <v>577</v>
      </c>
    </row>
    <row r="218" spans="1:3" x14ac:dyDescent="0.3">
      <c r="A218" t="s">
        <v>1098</v>
      </c>
      <c r="B218" t="s">
        <v>377</v>
      </c>
      <c r="C218" t="s">
        <v>378</v>
      </c>
    </row>
    <row r="219" spans="1:3" x14ac:dyDescent="0.3">
      <c r="A219" t="s">
        <v>1099</v>
      </c>
      <c r="B219" t="s">
        <v>688</v>
      </c>
      <c r="C219" t="s">
        <v>689</v>
      </c>
    </row>
    <row r="220" spans="1:3" x14ac:dyDescent="0.3">
      <c r="A220" t="s">
        <v>1100</v>
      </c>
      <c r="B220" t="s">
        <v>371</v>
      </c>
      <c r="C220" t="s">
        <v>372</v>
      </c>
    </row>
    <row r="221" spans="1:3" x14ac:dyDescent="0.3">
      <c r="A221" t="s">
        <v>1101</v>
      </c>
      <c r="B221" t="s">
        <v>171</v>
      </c>
      <c r="C221" t="s">
        <v>172</v>
      </c>
    </row>
    <row r="222" spans="1:3" x14ac:dyDescent="0.3">
      <c r="A222" t="s">
        <v>1102</v>
      </c>
      <c r="B222" t="s">
        <v>686</v>
      </c>
      <c r="C222" t="s">
        <v>687</v>
      </c>
    </row>
    <row r="223" spans="1:3" x14ac:dyDescent="0.3">
      <c r="A223" t="s">
        <v>1103</v>
      </c>
      <c r="B223" t="s">
        <v>509</v>
      </c>
      <c r="C223" t="s">
        <v>510</v>
      </c>
    </row>
    <row r="224" spans="1:3" x14ac:dyDescent="0.3">
      <c r="A224" t="s">
        <v>1104</v>
      </c>
      <c r="B224" t="s">
        <v>566</v>
      </c>
      <c r="C224" t="s">
        <v>567</v>
      </c>
    </row>
    <row r="225" spans="1:3" x14ac:dyDescent="0.3">
      <c r="A225" t="s">
        <v>1105</v>
      </c>
      <c r="B225" t="s">
        <v>455</v>
      </c>
      <c r="C225" t="s">
        <v>456</v>
      </c>
    </row>
    <row r="226" spans="1:3" x14ac:dyDescent="0.3">
      <c r="A226" t="s">
        <v>1106</v>
      </c>
      <c r="B226" t="s">
        <v>151</v>
      </c>
      <c r="C226" t="s">
        <v>152</v>
      </c>
    </row>
    <row r="227" spans="1:3" x14ac:dyDescent="0.3">
      <c r="A227" t="s">
        <v>1107</v>
      </c>
      <c r="B227" t="s">
        <v>238</v>
      </c>
      <c r="C227" t="s">
        <v>239</v>
      </c>
    </row>
    <row r="228" spans="1:3" x14ac:dyDescent="0.3">
      <c r="A228" t="s">
        <v>1108</v>
      </c>
      <c r="B228" t="s">
        <v>77</v>
      </c>
      <c r="C228" t="s">
        <v>78</v>
      </c>
    </row>
    <row r="229" spans="1:3" x14ac:dyDescent="0.3">
      <c r="A229" t="s">
        <v>1109</v>
      </c>
      <c r="B229" t="s">
        <v>670</v>
      </c>
      <c r="C229" t="s">
        <v>671</v>
      </c>
    </row>
    <row r="230" spans="1:3" x14ac:dyDescent="0.3">
      <c r="A230" t="s">
        <v>1110</v>
      </c>
      <c r="B230" t="s">
        <v>519</v>
      </c>
      <c r="C230" t="s">
        <v>520</v>
      </c>
    </row>
    <row r="231" spans="1:3" x14ac:dyDescent="0.3">
      <c r="A231" t="s">
        <v>1111</v>
      </c>
      <c r="B231" t="s">
        <v>411</v>
      </c>
      <c r="C231" t="s">
        <v>412</v>
      </c>
    </row>
    <row r="232" spans="1:3" x14ac:dyDescent="0.3">
      <c r="A232" t="s">
        <v>1112</v>
      </c>
      <c r="B232" t="s">
        <v>209</v>
      </c>
      <c r="C232" t="s">
        <v>210</v>
      </c>
    </row>
    <row r="233" spans="1:3" x14ac:dyDescent="0.3">
      <c r="A233" t="s">
        <v>1113</v>
      </c>
      <c r="B233" t="s">
        <v>333</v>
      </c>
      <c r="C233" t="s">
        <v>334</v>
      </c>
    </row>
    <row r="234" spans="1:3" x14ac:dyDescent="0.3">
      <c r="A234" t="s">
        <v>1114</v>
      </c>
      <c r="B234" t="s">
        <v>137</v>
      </c>
      <c r="C234" t="s">
        <v>138</v>
      </c>
    </row>
    <row r="235" spans="1:3" x14ac:dyDescent="0.3">
      <c r="A235" t="s">
        <v>1115</v>
      </c>
      <c r="B235" t="s">
        <v>268</v>
      </c>
      <c r="C235" t="s">
        <v>269</v>
      </c>
    </row>
    <row r="236" spans="1:3" x14ac:dyDescent="0.3">
      <c r="A236" t="s">
        <v>1116</v>
      </c>
      <c r="B236" t="s">
        <v>437</v>
      </c>
      <c r="C236" t="s">
        <v>438</v>
      </c>
    </row>
    <row r="237" spans="1:3" x14ac:dyDescent="0.3">
      <c r="A237" t="s">
        <v>1117</v>
      </c>
      <c r="B237" t="s">
        <v>690</v>
      </c>
      <c r="C237" t="s">
        <v>691</v>
      </c>
    </row>
    <row r="238" spans="1:3" x14ac:dyDescent="0.3">
      <c r="A238" t="s">
        <v>1118</v>
      </c>
      <c r="B238" t="s">
        <v>117</v>
      </c>
      <c r="C238" t="s">
        <v>118</v>
      </c>
    </row>
    <row r="239" spans="1:3" x14ac:dyDescent="0.3">
      <c r="A239" t="s">
        <v>1119</v>
      </c>
      <c r="B239" t="s">
        <v>550</v>
      </c>
      <c r="C239" t="s">
        <v>551</v>
      </c>
    </row>
    <row r="240" spans="1:3" x14ac:dyDescent="0.3">
      <c r="A240" t="s">
        <v>1120</v>
      </c>
      <c r="B240" t="s">
        <v>321</v>
      </c>
      <c r="C240" t="s">
        <v>322</v>
      </c>
    </row>
    <row r="241" spans="1:3" x14ac:dyDescent="0.3">
      <c r="A241" t="s">
        <v>1121</v>
      </c>
      <c r="B241" t="s">
        <v>111</v>
      </c>
      <c r="C241" t="s">
        <v>112</v>
      </c>
    </row>
    <row r="242" spans="1:3" x14ac:dyDescent="0.3">
      <c r="A242" t="s">
        <v>1122</v>
      </c>
      <c r="B242" t="s">
        <v>648</v>
      </c>
      <c r="C242" t="s">
        <v>649</v>
      </c>
    </row>
    <row r="243" spans="1:3" x14ac:dyDescent="0.3">
      <c r="A243" t="s">
        <v>1123</v>
      </c>
      <c r="B243" t="s">
        <v>523</v>
      </c>
      <c r="C243" t="s">
        <v>524</v>
      </c>
    </row>
    <row r="244" spans="1:3" x14ac:dyDescent="0.3">
      <c r="A244" t="s">
        <v>1124</v>
      </c>
      <c r="B244" t="s">
        <v>600</v>
      </c>
      <c r="C244" t="s">
        <v>601</v>
      </c>
    </row>
    <row r="245" spans="1:3" x14ac:dyDescent="0.3">
      <c r="A245" t="s">
        <v>1125</v>
      </c>
      <c r="B245" t="s">
        <v>463</v>
      </c>
      <c r="C245" t="s">
        <v>464</v>
      </c>
    </row>
    <row r="246" spans="1:3" x14ac:dyDescent="0.3">
      <c r="A246" t="s">
        <v>1126</v>
      </c>
      <c r="B246" t="s">
        <v>189</v>
      </c>
      <c r="C246" t="s">
        <v>190</v>
      </c>
    </row>
    <row r="247" spans="1:3" x14ac:dyDescent="0.3">
      <c r="A247" t="s">
        <v>1127</v>
      </c>
      <c r="B247" t="s">
        <v>173</v>
      </c>
      <c r="C247" t="s">
        <v>174</v>
      </c>
    </row>
    <row r="248" spans="1:3" x14ac:dyDescent="0.3">
      <c r="A248" t="s">
        <v>1128</v>
      </c>
      <c r="B248" t="s">
        <v>572</v>
      </c>
      <c r="C248" t="s">
        <v>573</v>
      </c>
    </row>
    <row r="249" spans="1:3" x14ac:dyDescent="0.3">
      <c r="A249" t="s">
        <v>1129</v>
      </c>
      <c r="B249" t="s">
        <v>175</v>
      </c>
      <c r="C249" t="s">
        <v>176</v>
      </c>
    </row>
    <row r="250" spans="1:3" x14ac:dyDescent="0.3">
      <c r="A250" t="s">
        <v>1130</v>
      </c>
      <c r="B250" t="s">
        <v>423</v>
      </c>
      <c r="C250" t="s">
        <v>424</v>
      </c>
    </row>
    <row r="251" spans="1:3" x14ac:dyDescent="0.3">
      <c r="A251" t="s">
        <v>1131</v>
      </c>
      <c r="B251" t="s">
        <v>527</v>
      </c>
      <c r="C251" t="s">
        <v>528</v>
      </c>
    </row>
    <row r="252" spans="1:3" x14ac:dyDescent="0.3">
      <c r="A252" t="s">
        <v>1132</v>
      </c>
      <c r="B252" t="s">
        <v>246</v>
      </c>
      <c r="C252" t="s">
        <v>247</v>
      </c>
    </row>
    <row r="253" spans="1:3" x14ac:dyDescent="0.3">
      <c r="A253" t="s">
        <v>1133</v>
      </c>
      <c r="B253" t="s">
        <v>155</v>
      </c>
      <c r="C253" t="s">
        <v>156</v>
      </c>
    </row>
    <row r="254" spans="1:3" x14ac:dyDescent="0.3">
      <c r="A254" t="s">
        <v>1134</v>
      </c>
      <c r="B254" t="s">
        <v>517</v>
      </c>
      <c r="C254" t="s">
        <v>518</v>
      </c>
    </row>
    <row r="255" spans="1:3" x14ac:dyDescent="0.3">
      <c r="A255" t="s">
        <v>1135</v>
      </c>
      <c r="B255" t="s">
        <v>139</v>
      </c>
      <c r="C255" t="s">
        <v>140</v>
      </c>
    </row>
    <row r="256" spans="1:3" x14ac:dyDescent="0.3">
      <c r="A256" t="s">
        <v>1136</v>
      </c>
      <c r="B256" t="s">
        <v>303</v>
      </c>
      <c r="C256" t="s">
        <v>304</v>
      </c>
    </row>
    <row r="257" spans="1:3" x14ac:dyDescent="0.3">
      <c r="A257" t="s">
        <v>1137</v>
      </c>
      <c r="B257" t="s">
        <v>359</v>
      </c>
      <c r="C257" t="s">
        <v>360</v>
      </c>
    </row>
    <row r="258" spans="1:3" x14ac:dyDescent="0.3">
      <c r="A258" t="s">
        <v>1138</v>
      </c>
      <c r="B258" t="s">
        <v>145</v>
      </c>
      <c r="C258" t="s">
        <v>146</v>
      </c>
    </row>
    <row r="259" spans="1:3" x14ac:dyDescent="0.3">
      <c r="A259" t="s">
        <v>1139</v>
      </c>
      <c r="B259" t="s">
        <v>311</v>
      </c>
      <c r="C259" t="s">
        <v>312</v>
      </c>
    </row>
    <row r="260" spans="1:3" x14ac:dyDescent="0.3">
      <c r="A260" t="s">
        <v>1140</v>
      </c>
      <c r="B260" t="s">
        <v>549</v>
      </c>
      <c r="C260" t="s">
        <v>308</v>
      </c>
    </row>
    <row r="261" spans="1:3" x14ac:dyDescent="0.3">
      <c r="A261" t="s">
        <v>1141</v>
      </c>
      <c r="B261" t="s">
        <v>331</v>
      </c>
      <c r="C261" t="s">
        <v>332</v>
      </c>
    </row>
    <row r="262" spans="1:3" x14ac:dyDescent="0.3">
      <c r="A262" t="s">
        <v>1142</v>
      </c>
      <c r="B262" t="s">
        <v>307</v>
      </c>
      <c r="C262" t="s">
        <v>308</v>
      </c>
    </row>
    <row r="263" spans="1:3" x14ac:dyDescent="0.3">
      <c r="A263" t="s">
        <v>1143</v>
      </c>
      <c r="B263" t="s">
        <v>413</v>
      </c>
      <c r="C263" t="s">
        <v>414</v>
      </c>
    </row>
    <row r="264" spans="1:3" x14ac:dyDescent="0.3">
      <c r="A264" t="s">
        <v>1144</v>
      </c>
      <c r="B264" t="s">
        <v>157</v>
      </c>
      <c r="C264" t="s">
        <v>158</v>
      </c>
    </row>
    <row r="265" spans="1:3" x14ac:dyDescent="0.3">
      <c r="A265" t="s">
        <v>1145</v>
      </c>
      <c r="B265" t="s">
        <v>201</v>
      </c>
      <c r="C265" t="s">
        <v>202</v>
      </c>
    </row>
    <row r="266" spans="1:3" x14ac:dyDescent="0.3">
      <c r="A266" t="s">
        <v>1146</v>
      </c>
      <c r="B266" t="s">
        <v>226</v>
      </c>
      <c r="C266" t="s">
        <v>227</v>
      </c>
    </row>
    <row r="267" spans="1:3" x14ac:dyDescent="0.3">
      <c r="A267" t="s">
        <v>1147</v>
      </c>
      <c r="B267" t="s">
        <v>636</v>
      </c>
      <c r="C267" t="s">
        <v>637</v>
      </c>
    </row>
    <row r="268" spans="1:3" x14ac:dyDescent="0.3">
      <c r="A268" t="s">
        <v>1148</v>
      </c>
      <c r="B268" t="s">
        <v>684</v>
      </c>
      <c r="C268" t="s">
        <v>685</v>
      </c>
    </row>
    <row r="269" spans="1:3" x14ac:dyDescent="0.3">
      <c r="A269" t="s">
        <v>1149</v>
      </c>
      <c r="B269" t="s">
        <v>491</v>
      </c>
      <c r="C269" t="s">
        <v>492</v>
      </c>
    </row>
    <row r="270" spans="1:3" x14ac:dyDescent="0.3">
      <c r="A270" t="s">
        <v>1150</v>
      </c>
      <c r="B270" t="s">
        <v>584</v>
      </c>
      <c r="C270" t="s">
        <v>585</v>
      </c>
    </row>
    <row r="271" spans="1:3" x14ac:dyDescent="0.3">
      <c r="A271" t="s">
        <v>1151</v>
      </c>
      <c r="B271" t="s">
        <v>363</v>
      </c>
      <c r="C271" t="s">
        <v>364</v>
      </c>
    </row>
    <row r="272" spans="1:3" x14ac:dyDescent="0.3">
      <c r="A272" t="s">
        <v>1152</v>
      </c>
      <c r="B272" t="s">
        <v>447</v>
      </c>
      <c r="C272" t="s">
        <v>448</v>
      </c>
    </row>
    <row r="273" spans="1:3" x14ac:dyDescent="0.3">
      <c r="A273" t="s">
        <v>1153</v>
      </c>
      <c r="B273" t="s">
        <v>219</v>
      </c>
      <c r="C273" t="s">
        <v>220</v>
      </c>
    </row>
    <row r="274" spans="1:3" x14ac:dyDescent="0.3">
      <c r="A274" t="s">
        <v>1154</v>
      </c>
      <c r="B274" t="s">
        <v>258</v>
      </c>
      <c r="C274" t="s">
        <v>259</v>
      </c>
    </row>
    <row r="275" spans="1:3" x14ac:dyDescent="0.3">
      <c r="A275" t="s">
        <v>1155</v>
      </c>
      <c r="B275" t="s">
        <v>405</v>
      </c>
      <c r="C275" t="s">
        <v>406</v>
      </c>
    </row>
    <row r="276" spans="1:3" x14ac:dyDescent="0.3">
      <c r="A276" t="s">
        <v>1156</v>
      </c>
      <c r="B276" t="s">
        <v>133</v>
      </c>
      <c r="C276" t="s">
        <v>134</v>
      </c>
    </row>
    <row r="277" spans="1:3" x14ac:dyDescent="0.3">
      <c r="A277" t="s">
        <v>1157</v>
      </c>
      <c r="B277" t="s">
        <v>387</v>
      </c>
      <c r="C277" t="s">
        <v>388</v>
      </c>
    </row>
    <row r="278" spans="1:3" x14ac:dyDescent="0.3">
      <c r="A278" t="s">
        <v>1158</v>
      </c>
      <c r="B278" t="s">
        <v>197</v>
      </c>
      <c r="C278" t="s">
        <v>198</v>
      </c>
    </row>
    <row r="279" spans="1:3" x14ac:dyDescent="0.3">
      <c r="A279" t="s">
        <v>1159</v>
      </c>
      <c r="B279" t="s">
        <v>698</v>
      </c>
      <c r="C279" t="s">
        <v>699</v>
      </c>
    </row>
    <row r="280" spans="1:3" x14ac:dyDescent="0.3">
      <c r="A280" t="s">
        <v>1160</v>
      </c>
      <c r="B280" t="s">
        <v>203</v>
      </c>
      <c r="C280" t="s">
        <v>204</v>
      </c>
    </row>
    <row r="281" spans="1:3" x14ac:dyDescent="0.3">
      <c r="A281" t="s">
        <v>1161</v>
      </c>
      <c r="B281" t="s">
        <v>167</v>
      </c>
      <c r="C281" t="s">
        <v>168</v>
      </c>
    </row>
    <row r="282" spans="1:3" x14ac:dyDescent="0.3">
      <c r="A282" t="s">
        <v>1162</v>
      </c>
      <c r="B282" t="s">
        <v>535</v>
      </c>
      <c r="C282" t="s">
        <v>536</v>
      </c>
    </row>
    <row r="283" spans="1:3" x14ac:dyDescent="0.3">
      <c r="A283" t="s">
        <v>1163</v>
      </c>
      <c r="B283" t="s">
        <v>240</v>
      </c>
      <c r="C283" t="s">
        <v>241</v>
      </c>
    </row>
    <row r="284" spans="1:3" x14ac:dyDescent="0.3">
      <c r="A284" t="s">
        <v>1164</v>
      </c>
      <c r="B284" t="s">
        <v>409</v>
      </c>
      <c r="C284" t="s">
        <v>410</v>
      </c>
    </row>
    <row r="285" spans="1:3" x14ac:dyDescent="0.3">
      <c r="A285" t="s">
        <v>1165</v>
      </c>
      <c r="B285" t="s">
        <v>407</v>
      </c>
      <c r="C285" t="s">
        <v>408</v>
      </c>
    </row>
    <row r="286" spans="1:3" x14ac:dyDescent="0.3">
      <c r="A286" t="s">
        <v>1166</v>
      </c>
      <c r="B286" t="s">
        <v>291</v>
      </c>
      <c r="C286" t="s">
        <v>292</v>
      </c>
    </row>
    <row r="287" spans="1:3" x14ac:dyDescent="0.3">
      <c r="A287" t="s">
        <v>1167</v>
      </c>
      <c r="B287" t="s">
        <v>373</v>
      </c>
      <c r="C287" t="s">
        <v>374</v>
      </c>
    </row>
    <row r="288" spans="1:3" x14ac:dyDescent="0.3">
      <c r="A288" t="s">
        <v>1168</v>
      </c>
      <c r="B288" t="s">
        <v>286</v>
      </c>
      <c r="C288" t="s">
        <v>152</v>
      </c>
    </row>
    <row r="289" spans="1:3" x14ac:dyDescent="0.3">
      <c r="A289" t="s">
        <v>1169</v>
      </c>
      <c r="B289" t="s">
        <v>177</v>
      </c>
      <c r="C289" t="s">
        <v>178</v>
      </c>
    </row>
    <row r="290" spans="1:3" x14ac:dyDescent="0.3">
      <c r="A290" t="s">
        <v>1170</v>
      </c>
      <c r="B290" t="s">
        <v>421</v>
      </c>
      <c r="C290" t="s">
        <v>422</v>
      </c>
    </row>
    <row r="291" spans="1:3" x14ac:dyDescent="0.3">
      <c r="A291" t="s">
        <v>1171</v>
      </c>
      <c r="B291" t="s">
        <v>704</v>
      </c>
      <c r="C291" t="s">
        <v>705</v>
      </c>
    </row>
    <row r="292" spans="1:3" x14ac:dyDescent="0.3">
      <c r="A292" t="s">
        <v>1172</v>
      </c>
      <c r="B292" t="s">
        <v>662</v>
      </c>
      <c r="C292" t="s">
        <v>663</v>
      </c>
    </row>
    <row r="293" spans="1:3" x14ac:dyDescent="0.3">
      <c r="A293" t="s">
        <v>1173</v>
      </c>
      <c r="B293" t="s">
        <v>431</v>
      </c>
      <c r="C293" t="s">
        <v>432</v>
      </c>
    </row>
    <row r="294" spans="1:3" x14ac:dyDescent="0.3">
      <c r="A294" t="s">
        <v>1174</v>
      </c>
      <c r="B294" t="s">
        <v>630</v>
      </c>
      <c r="C294" t="s">
        <v>631</v>
      </c>
    </row>
    <row r="295" spans="1:3" x14ac:dyDescent="0.3">
      <c r="A295" t="s">
        <v>1175</v>
      </c>
      <c r="B295" t="s">
        <v>289</v>
      </c>
      <c r="C295" t="s">
        <v>290</v>
      </c>
    </row>
    <row r="296" spans="1:3" x14ac:dyDescent="0.3">
      <c r="A296" t="s">
        <v>1176</v>
      </c>
      <c r="B296" t="s">
        <v>295</v>
      </c>
      <c r="C296" t="s">
        <v>296</v>
      </c>
    </row>
    <row r="297" spans="1:3" x14ac:dyDescent="0.3">
      <c r="A297" t="s">
        <v>1177</v>
      </c>
      <c r="B297" t="s">
        <v>343</v>
      </c>
      <c r="C297" t="s">
        <v>344</v>
      </c>
    </row>
    <row r="298" spans="1:3" x14ac:dyDescent="0.3">
      <c r="A298" t="s">
        <v>1178</v>
      </c>
      <c r="B298" t="s">
        <v>224</v>
      </c>
      <c r="C298" t="s">
        <v>225</v>
      </c>
    </row>
    <row r="299" spans="1:3" x14ac:dyDescent="0.3">
      <c r="A299" t="s">
        <v>1179</v>
      </c>
      <c r="B299" t="s">
        <v>105</v>
      </c>
      <c r="C299" t="s">
        <v>106</v>
      </c>
    </row>
    <row r="300" spans="1:3" x14ac:dyDescent="0.3">
      <c r="A300" t="s">
        <v>1180</v>
      </c>
      <c r="B300" t="s">
        <v>109</v>
      </c>
      <c r="C300" t="s">
        <v>110</v>
      </c>
    </row>
    <row r="301" spans="1:3" x14ac:dyDescent="0.3">
      <c r="A301" t="s">
        <v>1181</v>
      </c>
      <c r="B301" t="s">
        <v>439</v>
      </c>
      <c r="C301" t="s">
        <v>440</v>
      </c>
    </row>
    <row r="302" spans="1:3" x14ac:dyDescent="0.3">
      <c r="A302" t="s">
        <v>1182</v>
      </c>
      <c r="B302" t="s">
        <v>341</v>
      </c>
      <c r="C302" t="s">
        <v>342</v>
      </c>
    </row>
    <row r="303" spans="1:3" x14ac:dyDescent="0.3">
      <c r="A303" t="s">
        <v>1183</v>
      </c>
      <c r="B303" t="s">
        <v>107</v>
      </c>
      <c r="C303" t="s">
        <v>108</v>
      </c>
    </row>
    <row r="304" spans="1:3" x14ac:dyDescent="0.3">
      <c r="A304" t="s">
        <v>1184</v>
      </c>
      <c r="B304" t="s">
        <v>335</v>
      </c>
      <c r="C304" t="s">
        <v>336</v>
      </c>
    </row>
    <row r="305" spans="1:3" x14ac:dyDescent="0.3">
      <c r="A305" t="s">
        <v>1185</v>
      </c>
      <c r="B305" t="s">
        <v>264</v>
      </c>
      <c r="C305" t="s">
        <v>265</v>
      </c>
    </row>
    <row r="306" spans="1:3" x14ac:dyDescent="0.3">
      <c r="A306" t="s">
        <v>1186</v>
      </c>
      <c r="B306" t="s">
        <v>115</v>
      </c>
      <c r="C306" t="s">
        <v>116</v>
      </c>
    </row>
    <row r="307" spans="1:3" x14ac:dyDescent="0.3">
      <c r="A307" t="s">
        <v>1187</v>
      </c>
      <c r="B307" t="s">
        <v>397</v>
      </c>
      <c r="C307" t="s">
        <v>398</v>
      </c>
    </row>
    <row r="308" spans="1:3" x14ac:dyDescent="0.3">
      <c r="A308" t="s">
        <v>1188</v>
      </c>
      <c r="B308" t="s">
        <v>586</v>
      </c>
      <c r="C308" t="s">
        <v>587</v>
      </c>
    </row>
    <row r="309" spans="1:3" x14ac:dyDescent="0.3">
      <c r="A309" t="s">
        <v>1189</v>
      </c>
      <c r="B309" t="s">
        <v>511</v>
      </c>
      <c r="C309" t="s">
        <v>512</v>
      </c>
    </row>
    <row r="310" spans="1:3" x14ac:dyDescent="0.3">
      <c r="A310" t="s">
        <v>1190</v>
      </c>
      <c r="B310" t="s">
        <v>608</v>
      </c>
      <c r="C310" t="s">
        <v>609</v>
      </c>
    </row>
    <row r="311" spans="1:3" x14ac:dyDescent="0.3">
      <c r="A311" t="s">
        <v>1191</v>
      </c>
      <c r="B311" t="s">
        <v>453</v>
      </c>
      <c r="C311" t="s">
        <v>454</v>
      </c>
    </row>
    <row r="312" spans="1:3" x14ac:dyDescent="0.3">
      <c r="A312" t="s">
        <v>1192</v>
      </c>
      <c r="B312" t="s">
        <v>284</v>
      </c>
      <c r="C312" t="s">
        <v>285</v>
      </c>
    </row>
    <row r="313" spans="1:3" x14ac:dyDescent="0.3">
      <c r="A313" t="s">
        <v>1193</v>
      </c>
      <c r="B313" t="s">
        <v>654</v>
      </c>
      <c r="C313" t="s">
        <v>655</v>
      </c>
    </row>
    <row r="314" spans="1:3" x14ac:dyDescent="0.3">
      <c r="A314" t="s">
        <v>1194</v>
      </c>
      <c r="B314" t="s">
        <v>121</v>
      </c>
      <c r="C314" t="s">
        <v>122</v>
      </c>
    </row>
    <row r="315" spans="1:3" x14ac:dyDescent="0.3">
      <c r="A315" t="s">
        <v>1195</v>
      </c>
      <c r="B315" t="s">
        <v>481</v>
      </c>
      <c r="C315" t="s">
        <v>482</v>
      </c>
    </row>
    <row r="316" spans="1:3" x14ac:dyDescent="0.3">
      <c r="A316" t="s">
        <v>1196</v>
      </c>
      <c r="B316" t="s">
        <v>147</v>
      </c>
      <c r="C316" t="s">
        <v>148</v>
      </c>
    </row>
    <row r="317" spans="1:3" x14ac:dyDescent="0.3">
      <c r="A317" t="s">
        <v>1197</v>
      </c>
      <c r="B317" t="s">
        <v>513</v>
      </c>
      <c r="C317" t="s">
        <v>514</v>
      </c>
    </row>
    <row r="318" spans="1:3" x14ac:dyDescent="0.3">
      <c r="A318" t="s">
        <v>1198</v>
      </c>
      <c r="B318" t="s">
        <v>141</v>
      </c>
      <c r="C318" t="s">
        <v>142</v>
      </c>
    </row>
    <row r="319" spans="1:3" x14ac:dyDescent="0.3">
      <c r="A319" t="s">
        <v>1199</v>
      </c>
      <c r="B319" t="s">
        <v>640</v>
      </c>
      <c r="C319" t="s">
        <v>641</v>
      </c>
    </row>
    <row r="320" spans="1:3" x14ac:dyDescent="0.3">
      <c r="A320" t="s">
        <v>1200</v>
      </c>
      <c r="B320" t="s">
        <v>389</v>
      </c>
      <c r="C320" t="s">
        <v>390</v>
      </c>
    </row>
    <row r="321" spans="1:3" x14ac:dyDescent="0.3">
      <c r="A321" t="s">
        <v>1200</v>
      </c>
      <c r="B321" t="s">
        <v>389</v>
      </c>
      <c r="C321" t="s">
        <v>390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EC174F-F206-4BD0-820A-6AE5E0A83F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Equations</vt:lpstr>
      <vt:lpstr>Row_Data</vt:lpstr>
      <vt:lpstr>SUM</vt:lpstr>
      <vt:lpstr>1</vt:lpstr>
      <vt:lpstr>2</vt:lpstr>
      <vt:lpstr>3</vt:lpstr>
      <vt:lpstr>4</vt:lpstr>
      <vt:lpstr>5</vt:lpstr>
      <vt:lpstr>6</vt:lpstr>
      <vt:lpstr>7</vt:lpstr>
      <vt:lpstr>CST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Ayman Magdy Abdelazem</dc:creator>
  <cp:keywords/>
  <dc:description/>
  <cp:lastModifiedBy>Arwa refaie</cp:lastModifiedBy>
  <cp:revision/>
  <dcterms:created xsi:type="dcterms:W3CDTF">2025-10-17T23:19:45Z</dcterms:created>
  <dcterms:modified xsi:type="dcterms:W3CDTF">2026-08-29T23:36:12Z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2025-10-18T00:53:30Z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f1d89dc4-80c8-4ee0-a772-afc2bdf2e19f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