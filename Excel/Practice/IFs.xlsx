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913" documentId="11_E0F61610CF25EEED4BE1C051E0B6BC7509A01642" xr6:coauthVersionLast="47" xr6:coauthVersionMax="47" xr10:uidLastSave="{D74A9FAB-9550-4DA3-8BB7-29592BB134E3}"/>
  <bookViews>
    <workbookView xWindow="-110" yWindow="-110" windowWidth="19420" windowHeight="10300" firstSheet="5" activeTab="10" xr2:uid="{00000000-000D-0000-FFFF-FFFF00000000}"/>
  </bookViews>
  <sheets>
    <sheet name="If" sheetId="3" r:id="rId1"/>
    <sheet name="Logical function" sheetId="6" r:id="rId2"/>
    <sheet name="Nested if" sheetId="7" r:id="rId3"/>
    <sheet name="Advanced Index" sheetId="2" r:id="rId4"/>
    <sheet name="Advanced Index 2" sheetId="1" r:id="rId5"/>
    <sheet name="VLook up" sheetId="8" r:id="rId6"/>
    <sheet name="XLookup" sheetId="9" r:id="rId7"/>
    <sheet name="Adv. Xlookup" sheetId="10" r:id="rId8"/>
    <sheet name="HLookUp" sheetId="11" r:id="rId9"/>
    <sheet name="Filter" sheetId="12" r:id="rId10"/>
    <sheet name="Test" sheetId="5" r:id="rId11"/>
  </sheets>
  <definedNames>
    <definedName name="_xlnm._FilterDatabase" localSheetId="3" hidden="1">'Advanced Index'!$B$2:$F$12</definedName>
    <definedName name="_xlnm._FilterDatabase" localSheetId="4" hidden="1">'Advanced Index 2'!$B$2:$G$32</definedName>
    <definedName name="t" localSheetId="3">INDEX(('Advanced Index'!XEX1048570:XEX24,'Advanced Index'!XEW1048570:XEW24,'Advanced Index'!XEY1048570:XEY24),,,2)</definedName>
    <definedName name="t">INDEX(('Advanced Index 2'!XEX1048570:XEX24,'Advanced Index 2'!XEW1048570:XEW24,'Advanced Index 2'!XEY1048570:XEY24),,,2)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17" i="1" l="1"/>
  <c r="G25" i="1"/>
  <c r="G30" i="1"/>
  <c r="G11" i="1"/>
  <c r="G27" i="1"/>
  <c r="G13" i="1"/>
  <c r="G18" i="1"/>
  <c r="G15" i="1"/>
  <c r="G32" i="1"/>
  <c r="G26" i="1"/>
  <c r="G10" i="1"/>
  <c r="G29" i="1"/>
  <c r="G23" i="1"/>
  <c r="G16" i="1"/>
  <c r="G20" i="1"/>
  <c r="G12" i="1"/>
  <c r="G22" i="1"/>
  <c r="G9" i="1"/>
  <c r="G8" i="1"/>
  <c r="G24" i="1"/>
  <c r="G31" i="1"/>
  <c r="G28" i="1"/>
  <c r="G14" i="1"/>
  <c r="G21" i="1"/>
  <c r="G7" i="1"/>
  <c r="G6" i="1"/>
  <c r="G4" i="1"/>
  <c r="G19" i="1"/>
  <c r="G5" i="1"/>
</calcChain>
</file>

<file path=xl/sharedStrings.xml><?xml version="1.0" encoding="utf-8"?>
<sst xmlns="http://schemas.openxmlformats.org/spreadsheetml/2006/main" count="1059" uniqueCount="392">
  <si>
    <t>HRID</t>
  </si>
  <si>
    <t>Name</t>
  </si>
  <si>
    <t>QA%</t>
  </si>
  <si>
    <t>QA Achieved</t>
  </si>
  <si>
    <r>
      <t xml:space="preserve">QA target is 80%, so any agent achieved the target fill the cells with Achieved, but if they didn't achieve fill with Not Achieved using the </t>
    </r>
    <r>
      <rPr>
        <b/>
        <sz val="11"/>
        <color rgb="FF00B0F0"/>
        <rFont val="Calibri"/>
        <family val="2"/>
        <scheme val="minor"/>
      </rPr>
      <t>highlighted (Cells E5,E6,G5,G6)</t>
    </r>
    <r>
      <rPr>
        <b/>
        <sz val="11"/>
        <color theme="0"/>
        <rFont val="Calibri"/>
        <family val="2"/>
        <scheme val="minor"/>
      </rPr>
      <t xml:space="preserve"> information (they have to be part of the equation</t>
    </r>
  </si>
  <si>
    <t>Williams Dupont</t>
  </si>
  <si>
    <t>Deanne Chaidez</t>
  </si>
  <si>
    <t>Khadijah Mateer</t>
  </si>
  <si>
    <t>Chae Castelli</t>
  </si>
  <si>
    <t>Fredric Alden</t>
  </si>
  <si>
    <t>Keiko Sweitzer</t>
  </si>
  <si>
    <t>Achieved</t>
  </si>
  <si>
    <t>Lupe Huntley</t>
  </si>
  <si>
    <t>Not Achieved</t>
  </si>
  <si>
    <t>Annetta Mccotter</t>
  </si>
  <si>
    <t>Violet Krejci</t>
  </si>
  <si>
    <t>Marcelle Seip</t>
  </si>
  <si>
    <t>Nova Flanary</t>
  </si>
  <si>
    <t>Fred Chism</t>
  </si>
  <si>
    <t>Tora Brister</t>
  </si>
  <si>
    <t>Lincoln Gassett</t>
  </si>
  <si>
    <t>Dee Peppers</t>
  </si>
  <si>
    <t>Daryl Hedley</t>
  </si>
  <si>
    <t>Tiny Jarrard</t>
  </si>
  <si>
    <t>Teena Elliff</t>
  </si>
  <si>
    <t>Starla Walcott</t>
  </si>
  <si>
    <t>Edmond Taliaferro</t>
  </si>
  <si>
    <t>Ismael Borman</t>
  </si>
  <si>
    <t>Clifton Brouse</t>
  </si>
  <si>
    <t>Lady Mickey</t>
  </si>
  <si>
    <t>Ethelyn Marrone</t>
  </si>
  <si>
    <t>Benita Maciel</t>
  </si>
  <si>
    <t>Consuelo Gaccione</t>
  </si>
  <si>
    <t>Marty Corry</t>
  </si>
  <si>
    <t>Reginia Estrada</t>
  </si>
  <si>
    <t>Kim Okelly</t>
  </si>
  <si>
    <t>Morton Zoll</t>
  </si>
  <si>
    <t>Jazmin Hudgens</t>
  </si>
  <si>
    <t>Elliott Dorfman</t>
  </si>
  <si>
    <t>Gisele Calmes</t>
  </si>
  <si>
    <t>Jessia Hocking</t>
  </si>
  <si>
    <t>Sierra Neeson</t>
  </si>
  <si>
    <t>Kylie Walk</t>
  </si>
  <si>
    <t>Robbin Foran</t>
  </si>
  <si>
    <t>Ernie Overholt</t>
  </si>
  <si>
    <t>Alec Kinkade</t>
  </si>
  <si>
    <t>Percy Zheng</t>
  </si>
  <si>
    <t>Francina Rosser</t>
  </si>
  <si>
    <t>Chester Bittle</t>
  </si>
  <si>
    <t>Essie Holscher</t>
  </si>
  <si>
    <t>Hiram Ronk</t>
  </si>
  <si>
    <t>Sheldon Perin</t>
  </si>
  <si>
    <t>Hazel Pottinger</t>
  </si>
  <si>
    <t>Student</t>
  </si>
  <si>
    <t>Score</t>
  </si>
  <si>
    <t>Attendance (%)</t>
  </si>
  <si>
    <t>Region</t>
  </si>
  <si>
    <t>Grade</t>
  </si>
  <si>
    <t>IF Example</t>
  </si>
  <si>
    <t>IFS Example</t>
  </si>
  <si>
    <t>AND Example</t>
  </si>
  <si>
    <t>OR Example</t>
  </si>
  <si>
    <t>Student 1</t>
  </si>
  <si>
    <t>North</t>
  </si>
  <si>
    <t>B</t>
  </si>
  <si>
    <t>Student 2</t>
  </si>
  <si>
    <t>D</t>
  </si>
  <si>
    <t>Qualified</t>
  </si>
  <si>
    <t>Student 3</t>
  </si>
  <si>
    <t>Not Qualified</t>
  </si>
  <si>
    <t>Student 4</t>
  </si>
  <si>
    <t>South</t>
  </si>
  <si>
    <t>C</t>
  </si>
  <si>
    <t>Student 5</t>
  </si>
  <si>
    <t>&gt;=90</t>
  </si>
  <si>
    <t>A</t>
  </si>
  <si>
    <t>Student 6</t>
  </si>
  <si>
    <t>East</t>
  </si>
  <si>
    <t>&gt;=80</t>
  </si>
  <si>
    <t>b</t>
  </si>
  <si>
    <t>Student 7</t>
  </si>
  <si>
    <t>&gt;=70</t>
  </si>
  <si>
    <t>c</t>
  </si>
  <si>
    <t>Student 8</t>
  </si>
  <si>
    <t>F</t>
  </si>
  <si>
    <t>&gt;=60</t>
  </si>
  <si>
    <t>d</t>
  </si>
  <si>
    <t>Student 9</t>
  </si>
  <si>
    <t>&lt;60</t>
  </si>
  <si>
    <t>f</t>
  </si>
  <si>
    <t>Student 10</t>
  </si>
  <si>
    <t>West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</si>
  <si>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</si>
  <si>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</si>
  <si>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</si>
  <si>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</si>
  <si>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</si>
  <si>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</si>
  <si>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</si>
  <si>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</si>
  <si>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</si>
  <si>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</si>
  <si>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Employee</t>
  </si>
  <si>
    <t>Department</t>
  </si>
  <si>
    <t>Age</t>
  </si>
  <si>
    <t>Gender</t>
  </si>
  <si>
    <t>Salary</t>
  </si>
  <si>
    <t>Experience_Years</t>
  </si>
  <si>
    <t>Performance_Score</t>
  </si>
  <si>
    <t>Attendance_%</t>
  </si>
  <si>
    <t>Sales_Target_%</t>
  </si>
  <si>
    <t>Customer_Satisfaction</t>
  </si>
  <si>
    <t>Ex1</t>
  </si>
  <si>
    <t>Ex2</t>
  </si>
  <si>
    <t>Ex3</t>
  </si>
  <si>
    <t>Ex4</t>
  </si>
  <si>
    <t>Ex5</t>
  </si>
  <si>
    <t>Ex6</t>
  </si>
  <si>
    <t>Ex7</t>
  </si>
  <si>
    <t>Ex8</t>
  </si>
  <si>
    <t>Ex9</t>
  </si>
  <si>
    <t>Q1
Create a column to classify the Performance_Score:
≥90 → "Excellent"
80–89 → "Good"
70–79 → "Average"
&lt;70 → "Poor"</t>
  </si>
  <si>
    <t>Q2
If Attendance ≥95 → "Excellent Attendance"
If 90–94 → "Good Attendance"
If &lt;90 → "Needs Improvement"</t>
  </si>
  <si>
    <t>Q7
7. Customer Satisfaction
≥95 → "Excellent Service"
85–94 → "Good Service"
70–84 → "Average Service"
&lt;70 → "Needs Improvement"</t>
  </si>
  <si>
    <t>Ahmed</t>
  </si>
  <si>
    <t>Sales</t>
  </si>
  <si>
    <t>M</t>
  </si>
  <si>
    <t>Sara</t>
  </si>
  <si>
    <t>HR</t>
  </si>
  <si>
    <t>Omar</t>
  </si>
  <si>
    <t>IT</t>
  </si>
  <si>
    <t>Mona</t>
  </si>
  <si>
    <t>Finance</t>
  </si>
  <si>
    <t>Karim</t>
  </si>
  <si>
    <t>Marketing</t>
  </si>
  <si>
    <t>Dalia</t>
  </si>
  <si>
    <t>Tarek</t>
  </si>
  <si>
    <t>Salma</t>
  </si>
  <si>
    <t>Q3
Based on Salary:
≥15000 → "High"
10000–14999 → "Medium"
&lt;10000 → "Low</t>
  </si>
  <si>
    <t>Q4
Performance ≥90 → "High Bonus"
Performance 80–89 → "Medium Bonus"
Performance &lt;80 → "No Bonus"</t>
  </si>
  <si>
    <t>Q8
Combine Performance and Attendance:
Performance ≥90 AND Attendance ≥95 → "Outstanding"
Performance ≥80 AND Attendance ≥90 → "Good"
Otherwise → "Needs Development"</t>
  </si>
  <si>
    <t>Nader</t>
  </si>
  <si>
    <t>Lina</t>
  </si>
  <si>
    <t>Youssef</t>
  </si>
  <si>
    <t>Nour</t>
  </si>
  <si>
    <t>Hossam</t>
  </si>
  <si>
    <t>Reem</t>
  </si>
  <si>
    <t>Samir</t>
  </si>
  <si>
    <t>Mariam</t>
  </si>
  <si>
    <t>Q5
Promotion Decision
Experience ≥10 → "Eligible"
Experience 5–9 → "Maybe"
Experience &lt;5 → "Not Eligibl</t>
  </si>
  <si>
    <t>Q6
Only for Sales Department:
Sales_Target_% ≥100 → "Target Achieved"
90–99 → "Near Target"
&lt;90 → "Below Target"</t>
  </si>
  <si>
    <t>Q9
. Salary Raise
Salary &lt;10000 → "Raise 15%"
10000–14999 → "Raise 10%"
≥15000 → "No Raise"</t>
  </si>
  <si>
    <t>Fady</t>
  </si>
  <si>
    <t>Rania</t>
  </si>
  <si>
    <t>Hassan</t>
  </si>
  <si>
    <t>Laila</t>
  </si>
  <si>
    <t>Wael</t>
  </si>
  <si>
    <t>Hanan</t>
  </si>
  <si>
    <t>Magdy</t>
  </si>
  <si>
    <t>Dina</t>
  </si>
  <si>
    <t>Rami</t>
  </si>
  <si>
    <t>Invoice #</t>
  </si>
  <si>
    <t>Product Name</t>
  </si>
  <si>
    <t>Branch</t>
  </si>
  <si>
    <t>Quantity</t>
  </si>
  <si>
    <t>Price</t>
  </si>
  <si>
    <t>Total Amount</t>
  </si>
  <si>
    <t>1-114879</t>
  </si>
  <si>
    <t>Product 5</t>
  </si>
  <si>
    <t>Branch 2</t>
  </si>
  <si>
    <t>1-441487</t>
  </si>
  <si>
    <t>1-120082</t>
  </si>
  <si>
    <t>Product 7</t>
  </si>
  <si>
    <t>Branch 3</t>
  </si>
  <si>
    <t>1-152214</t>
  </si>
  <si>
    <t>Product 1</t>
  </si>
  <si>
    <t>Branch 1</t>
  </si>
  <si>
    <t>1-169373</t>
  </si>
  <si>
    <t>Product 6</t>
  </si>
  <si>
    <t>1-226023</t>
  </si>
  <si>
    <t>Product 3</t>
  </si>
  <si>
    <t>1-229290</t>
  </si>
  <si>
    <t>Product 10</t>
  </si>
  <si>
    <t>1-255690</t>
  </si>
  <si>
    <t>1-339509</t>
  </si>
  <si>
    <t>Product 4</t>
  </si>
  <si>
    <t>1-382043</t>
  </si>
  <si>
    <t>Product 9</t>
  </si>
  <si>
    <t>1-416755</t>
  </si>
  <si>
    <t>1-498353</t>
  </si>
  <si>
    <t>1-538098</t>
  </si>
  <si>
    <t>1-558731</t>
  </si>
  <si>
    <t>1-564570</t>
  </si>
  <si>
    <t>1-572290</t>
  </si>
  <si>
    <t>1-578412</t>
  </si>
  <si>
    <t>1-626333</t>
  </si>
  <si>
    <t>Product 2</t>
  </si>
  <si>
    <t>1-663353</t>
  </si>
  <si>
    <t>1-664928</t>
  </si>
  <si>
    <t>1-685530</t>
  </si>
  <si>
    <t>Product 8</t>
  </si>
  <si>
    <t>1-820289</t>
  </si>
  <si>
    <t>1-832876</t>
  </si>
  <si>
    <t>1-832975</t>
  </si>
  <si>
    <t>1-879580</t>
  </si>
  <si>
    <t>1-900769</t>
  </si>
  <si>
    <t>1-903102</t>
  </si>
  <si>
    <t>1-905891</t>
  </si>
  <si>
    <t>1-967842</t>
  </si>
  <si>
    <t>1-976273</t>
  </si>
  <si>
    <t>Branch #</t>
  </si>
  <si>
    <t>Salesperson</t>
  </si>
  <si>
    <t>ID Number</t>
  </si>
  <si>
    <t>Date</t>
  </si>
  <si>
    <t>Sale Amount</t>
  </si>
  <si>
    <t>Commission</t>
  </si>
  <si>
    <t>Vlookup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</si>
  <si>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</si>
  <si>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</si>
  <si>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</si>
  <si>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</si>
  <si>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</si>
  <si>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</si>
  <si>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</si>
  <si>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</si>
  <si>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</si>
  <si>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</si>
  <si>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</si>
  <si>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</si>
  <si>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</si>
  <si>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</si>
  <si>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</si>
  <si>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</si>
  <si>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</si>
  <si>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</si>
  <si>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</si>
  <si>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</si>
  <si>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</si>
  <si>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</si>
  <si>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Xlookup</t>
  </si>
  <si>
    <t>Commissions by Salesperson</t>
  </si>
  <si>
    <t>Year</t>
  </si>
  <si>
    <t>Figures in USD</t>
  </si>
  <si>
    <t>ID</t>
  </si>
  <si>
    <t>Category</t>
  </si>
  <si>
    <t>Sub-Category</t>
  </si>
  <si>
    <t>Technology</t>
  </si>
  <si>
    <t>Phones</t>
  </si>
  <si>
    <t>Mitel 5320 IP Phone VoIP phone</t>
  </si>
  <si>
    <t>Filter</t>
  </si>
  <si>
    <t>Office Supplies</t>
  </si>
  <si>
    <t>Binders</t>
  </si>
  <si>
    <t>DXL Angle-View Binders with Locking Rings by Samsill</t>
  </si>
  <si>
    <t>Furniture</t>
  </si>
  <si>
    <t>Appliances</t>
  </si>
  <si>
    <t>Belkin F5C206VTEL 6 Outlet Surge</t>
  </si>
  <si>
    <t>Tables</t>
  </si>
  <si>
    <t>Chromcraft Rectangular Conference Tables</t>
  </si>
  <si>
    <t>Ruselt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</si>
  <si>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</si>
  <si>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</si>
  <si>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</si>
  <si>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</si>
  <si>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</si>
  <si>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</si>
  <si>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Storage</t>
  </si>
  <si>
    <t>Stur-D-Stor Shelving, Vertical 5-Shelf: 72"H x 36"W x 18 1/2"D</t>
  </si>
  <si>
    <t>Fellowes Super Stor/Drawer</t>
  </si>
  <si>
    <t>Art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</si>
  <si>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</si>
  <si>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</si>
  <si>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</si>
  <si>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</si>
  <si>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</si>
  <si>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Chairs</t>
  </si>
  <si>
    <t>Global Deluxe Stacking Chair, Gray</t>
  </si>
  <si>
    <t>Wilson Jones Active Use Binders</t>
  </si>
  <si>
    <t>Accessories</t>
  </si>
  <si>
    <t>Imation 8GB Mini TravelDrive USB 2.0 Flash Drive</t>
  </si>
  <si>
    <t>Bookcases</t>
  </si>
  <si>
    <t>Riverside Palais Royal Lawyers Bookcase, Royale Cherry Finish</t>
  </si>
  <si>
    <t>Avery Recycled Flexi-View Covers for Binding Systems</t>
  </si>
  <si>
    <t>Furnishings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</si>
  <si>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</si>
  <si>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</si>
  <si>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</si>
  <si>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</si>
  <si>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</si>
  <si>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</si>
  <si>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</si>
  <si>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</si>
  <si>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</si>
  <si>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</si>
  <si>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</si>
  <si>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</si>
  <si>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</si>
  <si>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</si>
  <si>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</si>
  <si>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</si>
  <si>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</si>
  <si>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</si>
  <si>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</si>
  <si>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</si>
  <si>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</si>
  <si>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Labels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</si>
  <si>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</si>
  <si>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</si>
  <si>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</si>
  <si>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</si>
  <si>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</si>
  <si>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</si>
  <si>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</si>
  <si>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</si>
  <si>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</si>
  <si>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</si>
  <si>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</si>
  <si>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</si>
  <si>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</si>
  <si>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</si>
  <si>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</si>
  <si>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</si>
  <si>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</si>
  <si>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</si>
  <si>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</si>
  <si>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</si>
  <si>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</si>
  <si>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</si>
  <si>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</si>
  <si>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</si>
  <si>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</si>
  <si>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</si>
  <si>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</si>
  <si>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</si>
  <si>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</si>
  <si>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</si>
  <si>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</si>
  <si>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</si>
  <si>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</si>
  <si>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</si>
  <si>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</si>
  <si>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</si>
  <si>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</si>
  <si>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</si>
  <si>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</si>
  <si>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</si>
  <si>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</si>
  <si>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</si>
  <si>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</si>
  <si>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</si>
  <si>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</si>
  <si>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</si>
  <si>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</si>
  <si>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</si>
  <si>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</si>
  <si>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</si>
  <si>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</si>
  <si>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</si>
  <si>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</si>
  <si>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</si>
  <si>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</si>
  <si>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</si>
  <si>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</si>
  <si>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</si>
  <si>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</si>
  <si>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</si>
  <si>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</si>
  <si>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</si>
  <si>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</si>
  <si>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</si>
  <si>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</si>
  <si>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Performance</t>
  </si>
  <si>
    <t>Attendance</t>
  </si>
  <si>
    <t>Promotion_Eligible</t>
  </si>
  <si>
    <t>Remote_Work</t>
  </si>
  <si>
    <r>
      <t xml:space="preserve">If Performance = "Excellent" → display </t>
    </r>
    <r>
      <rPr>
        <b/>
        <sz val="11"/>
        <color theme="1"/>
        <rFont val="Calibri"/>
        <family val="2"/>
        <scheme val="minor"/>
      </rPr>
      <t>"Bonus"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"No Bonus"</t>
    </r>
  </si>
  <si>
    <t>Good</t>
  </si>
  <si>
    <t>No</t>
  </si>
  <si>
    <t>Yes</t>
  </si>
  <si>
    <r>
      <t xml:space="preserve">If Salary &gt; 12000 → </t>
    </r>
    <r>
      <rPr>
        <b/>
        <sz val="11"/>
        <color theme="1"/>
        <rFont val="Calibri"/>
        <family val="2"/>
        <scheme val="minor"/>
      </rPr>
      <t>"High Salary"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"Normal Salary"</t>
    </r>
  </si>
  <si>
    <t>Excellent</t>
  </si>
  <si>
    <r>
      <t xml:space="preserve">If Attendance ≥ 95% → </t>
    </r>
    <r>
      <rPr>
        <b/>
        <sz val="11"/>
        <color theme="1"/>
        <rFont val="Calibri"/>
        <family val="2"/>
        <scheme val="minor"/>
      </rPr>
      <t>"Perfect Attendance"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"Needs Improvement"</t>
    </r>
  </si>
  <si>
    <t>Average</t>
  </si>
  <si>
    <r>
      <t xml:space="preserve">If Performance = "Excellent"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Attendance ≥ 95% → </t>
    </r>
    <r>
      <rPr>
        <b/>
        <sz val="11"/>
        <color theme="1"/>
        <rFont val="Calibri"/>
        <family val="2"/>
        <scheme val="minor"/>
      </rPr>
      <t>"Promotion"</t>
    </r>
  </si>
  <si>
    <r>
      <t xml:space="preserve">If Experience ≥ 5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Salary &lt; 12000 → </t>
    </r>
    <r>
      <rPr>
        <b/>
        <sz val="11"/>
        <color theme="1"/>
        <rFont val="Calibri"/>
        <family val="2"/>
        <scheme val="minor"/>
      </rPr>
      <t>"Raise Eligible"</t>
    </r>
  </si>
  <si>
    <r>
      <t xml:space="preserve">If Department = "HR"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Remote_Work = "No" → </t>
    </r>
    <r>
      <rPr>
        <b/>
        <sz val="11"/>
        <color theme="1"/>
        <rFont val="Calibri"/>
        <family val="2"/>
        <scheme val="minor"/>
      </rPr>
      <t>"Office HR</t>
    </r>
  </si>
  <si>
    <r>
      <t xml:space="preserve">If Performance = "Excellent"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Attendance ≥ 98% → </t>
    </r>
    <r>
      <rPr>
        <b/>
        <sz val="11"/>
        <color theme="1"/>
        <rFont val="Calibri"/>
        <family val="2"/>
        <scheme val="minor"/>
      </rPr>
      <t>"Top Performer"</t>
    </r>
  </si>
  <si>
    <r>
      <t xml:space="preserve">If Department = "Sales"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"Marketing" → </t>
    </r>
    <r>
      <rPr>
        <b/>
        <sz val="11"/>
        <color theme="1"/>
        <rFont val="Calibri"/>
        <family val="2"/>
        <scheme val="minor"/>
      </rPr>
      <t>"Customer Facing Role"</t>
    </r>
  </si>
  <si>
    <t>Poor</t>
  </si>
  <si>
    <r>
      <t xml:space="preserve">If Gender = "F"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Experience &lt; 3 → </t>
    </r>
    <r>
      <rPr>
        <b/>
        <sz val="11"/>
        <color theme="1"/>
        <rFont val="Calibri"/>
        <family val="2"/>
        <scheme val="minor"/>
      </rPr>
      <t>"Junior or Female"</t>
    </r>
  </si>
  <si>
    <r>
      <t xml:space="preserve">If NOT Promotion_Eligible = "Yes" → </t>
    </r>
    <r>
      <rPr>
        <b/>
        <sz val="11"/>
        <color theme="1"/>
        <rFont val="Calibri"/>
        <family val="2"/>
        <scheme val="minor"/>
      </rPr>
      <t>"Needs Improvement"</t>
    </r>
  </si>
  <si>
    <r>
      <t xml:space="preserve">If NOT Remote_Work = "Yes" → </t>
    </r>
    <r>
      <rPr>
        <b/>
        <sz val="11"/>
        <color theme="1"/>
        <rFont val="Calibri"/>
        <family val="2"/>
        <scheme val="minor"/>
      </rPr>
      <t>"Office Employee"</t>
    </r>
  </si>
  <si>
    <r>
      <t xml:space="preserve">If NOT Department = "IT" → </t>
    </r>
    <r>
      <rPr>
        <b/>
        <sz val="11"/>
        <color theme="1"/>
        <rFont val="Calibri"/>
        <family val="2"/>
        <scheme val="minor"/>
      </rPr>
      <t>"Non-Technical Staff"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</si>
</sst>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-409]#,##0"/>
    <numFmt numFmtId="166" formatCode="_(&quot;$&quot;* #,##0_);_(&quot;$&quot;* \(#,##0\);_(&quot;$&quot;* &quot;-&quot;??_);_(@_)"/>
    <numFmt numFmtId="167" formatCode="_(&quot;$&quot;* #,##0.0_);_(&quot;$&quot;* \(#,##0.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BB4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/>
    </xf>
    <xf numFmtId="1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8" fillId="1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12" borderId="0" xfId="3" applyFont="1" applyFill="1" applyAlignment="1">
      <alignment horizontal="center"/>
    </xf>
    <xf numFmtId="0" fontId="10" fillId="13" borderId="0" xfId="3" applyFont="1" applyFill="1" applyAlignment="1">
      <alignment horizontal="center" vertical="center"/>
    </xf>
    <xf numFmtId="0" fontId="9" fillId="13" borderId="0" xfId="3" applyFill="1" applyAlignment="1">
      <alignment horizontal="center" vertical="center"/>
    </xf>
    <xf numFmtId="0" fontId="11" fillId="0" borderId="0" xfId="3" applyFont="1" applyAlignment="1">
      <alignment horizontal="center" vertical="center"/>
    </xf>
    <xf numFmtId="165" fontId="9" fillId="0" borderId="0" xfId="3" applyNumberFormat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15" borderId="0" xfId="0" applyFont="1" applyFill="1" applyAlignment="1">
      <alignment horizontal="center"/>
    </xf>
    <xf numFmtId="0" fontId="5" fillId="15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9" fontId="12" fillId="0" borderId="4" xfId="0" applyNumberFormat="1" applyFont="1" applyBorder="1" applyAlignment="1">
      <alignment horizontal="center" vertical="center"/>
    </xf>
    <xf numFmtId="17" fontId="0" fillId="10" borderId="1" xfId="0" applyNumberFormat="1" applyFill="1" applyBorder="1" applyAlignment="1">
      <alignment horizontal="center" vertical="center"/>
    </xf>
    <xf numFmtId="2" fontId="0" fillId="0" borderId="0" xfId="0" applyNumberFormat="1"/>
    <xf numFmtId="166" fontId="0" fillId="0" borderId="0" xfId="4" applyNumberFormat="1" applyFont="1"/>
    <xf numFmtId="166" fontId="0" fillId="0" borderId="0" xfId="4" applyNumberFormat="1" applyFont="1" applyAlignment="1">
      <alignment vertical="center"/>
    </xf>
    <xf numFmtId="0" fontId="0" fillId="0" borderId="0" xfId="0" applyAlignment="1">
      <alignment horizontal="center"/>
    </xf>
    <xf numFmtId="1" fontId="0" fillId="6" borderId="0" xfId="0" applyNumberFormat="1" applyFill="1"/>
    <xf numFmtId="167" fontId="0" fillId="0" borderId="0" xfId="4" applyNumberFormat="1" applyFont="1"/>
    <xf numFmtId="0" fontId="2" fillId="8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8" fillId="12" borderId="0" xfId="3" applyFont="1" applyFill="1" applyAlignment="1">
      <alignment horizontal="center" vertical="center"/>
    </xf>
  </cellXfs>
  <cellStyles count="5">
    <cellStyle name="Comma" xfId="1" builtinId="3"/>
    <cellStyle name="Currency" xfId="4" builtinId="4"/>
    <cellStyle name="Normal" xfId="0" builtinId="0"/>
    <cellStyle name="Normal 3" xfId="3" xr:uid="{2AAAB90E-7302-43D1-AF14-49173708A600}"/>
    <cellStyle name="Percent" xfId="2" builtinId="5"/>
  </cellStyles>
  <dxfs count="9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6D6D6"/>
      <color rgb="FF4BB4E6"/>
      <color rgb="FF59595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58E5-F1B9-4A32-89C5-2A5198EB61EC}">
  <dimension ref="A1:P47"/>
  <sheetViews>
    <sheetView zoomScale="90" zoomScaleNormal="130" workbookViewId="0">
      <selection activeCell="G1" sqref="G1:P4"/>
    </sheetView>
  </sheetViews>
  <sheetFormatPr defaultRowHeight="14.5" x14ac:dyDescent="0.35"/>
  <cols>
    <col min="1" max="1" width="7.453125" bestFit="1" customWidth="1"/>
    <col min="2" max="2" width="16.54296875" bestFit="1" customWidth="1"/>
    <col min="3" max="3" width="4.81640625" bestFit="1" customWidth="1"/>
    <col min="4" max="4" width="11.81640625" bestFit="1" customWidth="1"/>
  </cols>
  <sheetData>
    <row r="1" spans="1:16" ht="14.5" customHeight="1" thickBot="1" x14ac:dyDescent="0.4">
      <c r="A1" s="7" t="s">
        <v>0</v>
      </c>
      <c r="B1" s="7" t="s">
        <v>1</v>
      </c>
      <c r="C1" s="8" t="s">
        <v>2</v>
      </c>
      <c r="D1" s="8" t="s">
        <v>3</v>
      </c>
      <c r="G1" s="48" t="s">
        <v>4</v>
      </c>
      <c r="H1" s="48"/>
      <c r="I1" s="48"/>
      <c r="J1" s="48"/>
      <c r="K1" s="48"/>
      <c r="L1" s="48"/>
      <c r="M1" s="48"/>
      <c r="N1" s="48"/>
      <c r="O1" s="48"/>
      <c r="P1" s="48"/>
    </row>
    <row r="2" spans="1:16" ht="15" thickBot="1" x14ac:dyDescent="0.4">
      <c r="A2" s="4">
        <v>234245</v>
      </c>
      <c r="B2" s="4" t="s">
        <v>5</v>
      </c>
      <c r="C2" s="39">
        <v>0.61</v>
      </c>
      <c r="D2" s="4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15" thickBot="1" x14ac:dyDescent="0.4">
      <c r="A3" s="4">
        <v>166950</v>
      </c>
      <c r="B3" s="4" t="s">
        <v>6</v>
      </c>
      <c r="C3" s="40">
        <v>0.13</v>
      </c>
      <c r="D3" s="4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16" ht="15" thickBot="1" x14ac:dyDescent="0.4">
      <c r="A4" s="4">
        <v>140191</v>
      </c>
      <c r="B4" s="4" t="s">
        <v>7</v>
      </c>
      <c r="C4" s="40">
        <v>0.57999999999999996</v>
      </c>
      <c r="D4" s="4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 ht="15" thickBot="1" x14ac:dyDescent="0.4">
      <c r="A5" s="4">
        <v>179838</v>
      </c>
      <c r="B5" s="4" t="s">
        <v>8</v>
      </c>
      <c r="C5" s="40">
        <v>0.49</v>
      </c>
      <c r="D5" s="4"/>
    </row>
    <row r="6" spans="1:16" ht="15" thickBot="1" x14ac:dyDescent="0.4">
      <c r="A6" s="4">
        <v>162902</v>
      </c>
      <c r="B6" s="4" t="s">
        <v>9</v>
      </c>
      <c r="C6" s="40">
        <v>0.02</v>
      </c>
      <c r="D6" s="4"/>
    </row>
    <row r="7" spans="1:16" ht="15" thickBot="1" x14ac:dyDescent="0.4">
      <c r="A7" s="4">
        <v>132939</v>
      </c>
      <c r="B7" s="4" t="s">
        <v>10</v>
      </c>
      <c r="C7" s="40">
        <v>0.14000000000000001</v>
      </c>
      <c r="D7" s="4"/>
      <c r="I7" t="s">
        <v>11</v>
      </c>
    </row>
    <row r="8" spans="1:16" ht="15" thickBot="1" x14ac:dyDescent="0.4">
      <c r="A8" s="4">
        <v>109857</v>
      </c>
      <c r="B8" s="4" t="s">
        <v>12</v>
      </c>
      <c r="C8" s="40">
        <v>0.93</v>
      </c>
      <c r="D8" s="4"/>
      <c r="I8" t="s">
        <v>13</v>
      </c>
    </row>
    <row r="9" spans="1:16" ht="15" thickBot="1" x14ac:dyDescent="0.4">
      <c r="A9" s="4">
        <v>134285</v>
      </c>
      <c r="B9" s="4" t="s">
        <v>14</v>
      </c>
      <c r="C9" s="40">
        <v>0.9</v>
      </c>
      <c r="D9" s="4"/>
    </row>
    <row r="10" spans="1:16" ht="15" thickBot="1" x14ac:dyDescent="0.4">
      <c r="A10" s="4">
        <v>198104</v>
      </c>
      <c r="B10" s="4" t="s">
        <v>15</v>
      </c>
      <c r="C10" s="40">
        <v>0.5</v>
      </c>
      <c r="D10" s="4"/>
    </row>
    <row r="11" spans="1:16" ht="15" thickBot="1" x14ac:dyDescent="0.4">
      <c r="A11" s="4">
        <v>185216</v>
      </c>
      <c r="B11" s="4" t="s">
        <v>16</v>
      </c>
      <c r="C11" s="40">
        <v>0.73</v>
      </c>
      <c r="D11" s="4"/>
    </row>
    <row r="12" spans="1:16" ht="15" thickBot="1" x14ac:dyDescent="0.4">
      <c r="A12" s="4">
        <v>118857</v>
      </c>
      <c r="B12" s="4" t="s">
        <v>17</v>
      </c>
      <c r="C12" s="40">
        <v>0.67</v>
      </c>
      <c r="D12" s="4"/>
    </row>
    <row r="13" spans="1:16" ht="15" thickBot="1" x14ac:dyDescent="0.4">
      <c r="A13" s="4">
        <v>176029</v>
      </c>
      <c r="B13" s="4" t="s">
        <v>18</v>
      </c>
      <c r="C13" s="40">
        <v>0.88</v>
      </c>
      <c r="D13" s="4"/>
    </row>
    <row r="14" spans="1:16" ht="15" thickBot="1" x14ac:dyDescent="0.4">
      <c r="A14" s="4">
        <v>156619</v>
      </c>
      <c r="B14" s="4" t="s">
        <v>19</v>
      </c>
      <c r="C14" s="40">
        <v>0.04</v>
      </c>
      <c r="D14" s="4"/>
    </row>
    <row r="15" spans="1:16" ht="15" thickBot="1" x14ac:dyDescent="0.4">
      <c r="A15" s="4">
        <v>155230</v>
      </c>
      <c r="B15" s="4" t="s">
        <v>20</v>
      </c>
      <c r="C15" s="40">
        <v>0.32</v>
      </c>
      <c r="D15" s="4"/>
    </row>
    <row r="16" spans="1:16" ht="15" thickBot="1" x14ac:dyDescent="0.4">
      <c r="A16" s="4">
        <v>120540</v>
      </c>
      <c r="B16" s="4" t="s">
        <v>21</v>
      </c>
      <c r="C16" s="40">
        <v>0.84</v>
      </c>
      <c r="D16" s="4"/>
    </row>
    <row r="17" spans="1:4" ht="15" thickBot="1" x14ac:dyDescent="0.4">
      <c r="A17" s="4">
        <v>160910</v>
      </c>
      <c r="B17" s="4" t="s">
        <v>22</v>
      </c>
      <c r="C17" s="40">
        <v>0.69</v>
      </c>
      <c r="D17" s="4"/>
    </row>
    <row r="18" spans="1:4" ht="15" thickBot="1" x14ac:dyDescent="0.4">
      <c r="A18" s="4">
        <v>157176</v>
      </c>
      <c r="B18" s="4" t="s">
        <v>23</v>
      </c>
      <c r="C18" s="40">
        <v>0.85</v>
      </c>
      <c r="D18" s="4"/>
    </row>
    <row r="19" spans="1:4" ht="15" thickBot="1" x14ac:dyDescent="0.4">
      <c r="A19" s="4">
        <v>128505</v>
      </c>
      <c r="B19" s="4" t="s">
        <v>24</v>
      </c>
      <c r="C19" s="40">
        <v>0.89</v>
      </c>
      <c r="D19" s="4"/>
    </row>
    <row r="20" spans="1:4" ht="15" thickBot="1" x14ac:dyDescent="0.4">
      <c r="A20" s="4">
        <v>105969</v>
      </c>
      <c r="B20" s="4" t="s">
        <v>25</v>
      </c>
      <c r="C20" s="40">
        <v>0.14000000000000001</v>
      </c>
      <c r="D20" s="4"/>
    </row>
    <row r="21" spans="1:4" ht="15" thickBot="1" x14ac:dyDescent="0.4">
      <c r="A21" s="4">
        <v>150014</v>
      </c>
      <c r="B21" s="4" t="s">
        <v>26</v>
      </c>
      <c r="C21" s="40">
        <v>0.41</v>
      </c>
      <c r="D21" s="4"/>
    </row>
    <row r="22" spans="1:4" ht="15" thickBot="1" x14ac:dyDescent="0.4">
      <c r="A22" s="4">
        <v>123030</v>
      </c>
      <c r="B22" s="4" t="s">
        <v>27</v>
      </c>
      <c r="C22" s="40">
        <v>0.37</v>
      </c>
      <c r="D22" s="4"/>
    </row>
    <row r="23" spans="1:4" ht="15" thickBot="1" x14ac:dyDescent="0.4">
      <c r="A23" s="4">
        <v>115997</v>
      </c>
      <c r="B23" s="4" t="s">
        <v>28</v>
      </c>
      <c r="C23" s="40">
        <v>0.26</v>
      </c>
      <c r="D23" s="4"/>
    </row>
    <row r="24" spans="1:4" ht="15" thickBot="1" x14ac:dyDescent="0.4">
      <c r="A24" s="4">
        <v>106067</v>
      </c>
      <c r="B24" s="4" t="s">
        <v>29</v>
      </c>
      <c r="C24" s="40">
        <v>0.91</v>
      </c>
      <c r="D24" s="4"/>
    </row>
    <row r="25" spans="1:4" ht="15" thickBot="1" x14ac:dyDescent="0.4">
      <c r="A25" s="4">
        <v>191657</v>
      </c>
      <c r="B25" s="4" t="s">
        <v>30</v>
      </c>
      <c r="C25" s="40">
        <v>0.91</v>
      </c>
      <c r="D25" s="4"/>
    </row>
    <row r="26" spans="1:4" ht="15" thickBot="1" x14ac:dyDescent="0.4">
      <c r="A26" s="4">
        <v>116085</v>
      </c>
      <c r="B26" s="4" t="s">
        <v>31</v>
      </c>
      <c r="C26" s="40">
        <v>0.08</v>
      </c>
      <c r="D26" s="4"/>
    </row>
    <row r="27" spans="1:4" ht="15" thickBot="1" x14ac:dyDescent="0.4">
      <c r="A27" s="4">
        <v>119729</v>
      </c>
      <c r="B27" s="4" t="s">
        <v>32</v>
      </c>
      <c r="C27" s="40">
        <v>0.22</v>
      </c>
      <c r="D27" s="4"/>
    </row>
    <row r="28" spans="1:4" ht="15" thickBot="1" x14ac:dyDescent="0.4">
      <c r="A28" s="4">
        <v>163438</v>
      </c>
      <c r="B28" s="4" t="s">
        <v>33</v>
      </c>
      <c r="C28" s="40">
        <v>0.94</v>
      </c>
      <c r="D28" s="4"/>
    </row>
    <row r="29" spans="1:4" ht="15" thickBot="1" x14ac:dyDescent="0.4">
      <c r="A29" s="4">
        <v>190645</v>
      </c>
      <c r="B29" s="4" t="s">
        <v>34</v>
      </c>
      <c r="C29" s="40">
        <v>0.32</v>
      </c>
      <c r="D29" s="4"/>
    </row>
    <row r="30" spans="1:4" ht="15" thickBot="1" x14ac:dyDescent="0.4">
      <c r="A30" s="4">
        <v>197918</v>
      </c>
      <c r="B30" s="4" t="s">
        <v>35</v>
      </c>
      <c r="C30" s="40">
        <v>0.03</v>
      </c>
      <c r="D30" s="4"/>
    </row>
    <row r="31" spans="1:4" ht="15" thickBot="1" x14ac:dyDescent="0.4">
      <c r="A31" s="4">
        <v>149513</v>
      </c>
      <c r="B31" s="4" t="s">
        <v>36</v>
      </c>
      <c r="C31" s="40">
        <v>0.73</v>
      </c>
      <c r="D31" s="4"/>
    </row>
    <row r="32" spans="1:4" ht="15" thickBot="1" x14ac:dyDescent="0.4">
      <c r="A32" s="4">
        <v>155525</v>
      </c>
      <c r="B32" s="4" t="s">
        <v>37</v>
      </c>
      <c r="C32" s="40">
        <v>0.63</v>
      </c>
      <c r="D32" s="4"/>
    </row>
    <row r="33" spans="1:4" ht="15" thickBot="1" x14ac:dyDescent="0.4">
      <c r="A33" s="4">
        <v>102044</v>
      </c>
      <c r="B33" s="4" t="s">
        <v>38</v>
      </c>
      <c r="C33" s="40">
        <v>0.2</v>
      </c>
      <c r="D33" s="4"/>
    </row>
    <row r="34" spans="1:4" ht="15" thickBot="1" x14ac:dyDescent="0.4">
      <c r="A34" s="4">
        <v>181296</v>
      </c>
      <c r="B34" s="4" t="s">
        <v>39</v>
      </c>
      <c r="C34" s="40">
        <v>0.45</v>
      </c>
      <c r="D34" s="4"/>
    </row>
    <row r="35" spans="1:4" ht="15" thickBot="1" x14ac:dyDescent="0.4">
      <c r="A35" s="4">
        <v>139166</v>
      </c>
      <c r="B35" s="4" t="s">
        <v>40</v>
      </c>
      <c r="C35" s="40">
        <v>0.62</v>
      </c>
      <c r="D35" s="4"/>
    </row>
    <row r="36" spans="1:4" ht="15" thickBot="1" x14ac:dyDescent="0.4">
      <c r="A36" s="4">
        <v>123931</v>
      </c>
      <c r="B36" s="4" t="s">
        <v>41</v>
      </c>
      <c r="C36" s="40">
        <v>0.91</v>
      </c>
      <c r="D36" s="4"/>
    </row>
    <row r="37" spans="1:4" ht="15" thickBot="1" x14ac:dyDescent="0.4">
      <c r="A37" s="4">
        <v>140306</v>
      </c>
      <c r="B37" s="4" t="s">
        <v>42</v>
      </c>
      <c r="C37" s="40">
        <v>0.66</v>
      </c>
      <c r="D37" s="4"/>
    </row>
    <row r="38" spans="1:4" ht="15" thickBot="1" x14ac:dyDescent="0.4">
      <c r="A38" s="4">
        <v>127805</v>
      </c>
      <c r="B38" s="4" t="s">
        <v>43</v>
      </c>
      <c r="C38" s="40">
        <v>0.6</v>
      </c>
      <c r="D38" s="4"/>
    </row>
    <row r="39" spans="1:4" ht="15" thickBot="1" x14ac:dyDescent="0.4">
      <c r="A39" s="4">
        <v>140797</v>
      </c>
      <c r="B39" s="4" t="s">
        <v>44</v>
      </c>
      <c r="C39" s="40">
        <v>0.62</v>
      </c>
      <c r="D39" s="4"/>
    </row>
    <row r="40" spans="1:4" ht="15" thickBot="1" x14ac:dyDescent="0.4">
      <c r="A40" s="4">
        <v>108701</v>
      </c>
      <c r="B40" s="4" t="s">
        <v>45</v>
      </c>
      <c r="C40" s="40">
        <v>0.23</v>
      </c>
      <c r="D40" s="4"/>
    </row>
    <row r="41" spans="1:4" ht="15" thickBot="1" x14ac:dyDescent="0.4">
      <c r="A41" s="4">
        <v>136994</v>
      </c>
      <c r="B41" s="4" t="s">
        <v>46</v>
      </c>
      <c r="C41" s="40">
        <v>0.98</v>
      </c>
      <c r="D41" s="4"/>
    </row>
    <row r="42" spans="1:4" ht="15" thickBot="1" x14ac:dyDescent="0.4">
      <c r="A42" s="4">
        <v>176709</v>
      </c>
      <c r="B42" s="4" t="s">
        <v>47</v>
      </c>
      <c r="C42" s="40">
        <v>0.32</v>
      </c>
      <c r="D42" s="4"/>
    </row>
    <row r="43" spans="1:4" ht="15" thickBot="1" x14ac:dyDescent="0.4">
      <c r="A43" s="4">
        <v>170370</v>
      </c>
      <c r="B43" s="4" t="s">
        <v>48</v>
      </c>
      <c r="C43" s="40">
        <v>0.16</v>
      </c>
      <c r="D43" s="4"/>
    </row>
    <row r="44" spans="1:4" ht="15" thickBot="1" x14ac:dyDescent="0.4">
      <c r="A44" s="4">
        <v>107383</v>
      </c>
      <c r="B44" s="4" t="s">
        <v>49</v>
      </c>
      <c r="C44" s="40">
        <v>0.92</v>
      </c>
      <c r="D44" s="4"/>
    </row>
    <row r="45" spans="1:4" ht="15" thickBot="1" x14ac:dyDescent="0.4">
      <c r="A45" s="4">
        <v>115687</v>
      </c>
      <c r="B45" s="4" t="s">
        <v>50</v>
      </c>
      <c r="C45" s="40">
        <v>0.8</v>
      </c>
      <c r="D45" s="4"/>
    </row>
    <row r="46" spans="1:4" ht="15" thickBot="1" x14ac:dyDescent="0.4">
      <c r="A46" s="4">
        <v>188249</v>
      </c>
      <c r="B46" s="4" t="s">
        <v>51</v>
      </c>
      <c r="C46" s="40">
        <v>0.83</v>
      </c>
      <c r="D46" s="4"/>
    </row>
    <row r="47" spans="1:4" ht="15" thickBot="1" x14ac:dyDescent="0.4">
      <c r="A47" s="4">
        <v>182584</v>
      </c>
      <c r="B47" s="4" t="s">
        <v>52</v>
      </c>
      <c r="C47" s="40">
        <v>0.8</v>
      </c>
      <c r="D47" s="4"/>
    </row>
  </sheetData>
  <mergeCells count="1">
    <mergeCell ref="G1:P4"/>
  </mergeCells>
  <conditionalFormatting sqref="A1">
    <cfRule type="duplicateValues" dxfId="8" priority="7"/>
  </conditionalFormatting>
  <conditionalFormatting sqref="A2:A47">
    <cfRule type="duplicateValues" dxfId="7" priority="8"/>
  </conditionalFormatting>
  <conditionalFormatting sqref="C2:C47">
    <cfRule type="cellIs" dxfId="6" priority="1" operator="between">
      <formula>0.7</formula>
      <formula>0.75</formula>
    </cfRule>
    <cfRule type="cellIs" dxfId="5" priority="2" operator="lessThan">
      <formula>0.75</formula>
    </cfRule>
    <cfRule type="cellIs" dxfId="4" priority="3" operator="greaterThan">
      <formula>0.75</formula>
    </cfRule>
  </conditionalFormatting>
  <conditionalFormatting sqref="D48:D52">
    <cfRule type="cellIs" dxfId="3" priority="9" operator="equal">
      <formula>"invalid reason"</formula>
    </cfRule>
    <cfRule type="cellIs" dxfId="2" priority="10" operator="equal">
      <formula>"Check Result"</formula>
    </cfRule>
    <cfRule type="cellIs" dxfId="1" priority="11" operator="equal">
      <formula>"Did not pass"</formula>
    </cfRule>
    <cfRule type="cellIs" dxfId="0" priority="12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7948-DD73-491A-9C85-B1F43E9E32AC}">
  <dimension ref="A1:P21"/>
  <sheetViews>
    <sheetView workbookViewId="0">
      <selection activeCell="G22" sqref="G22"/>
    </sheetView>
  </sheetViews>
  <sheetFormatPr defaultRowHeight="14.5" x14ac:dyDescent="0.35"/>
  <cols>
    <col min="1" max="1" width="9.7265625" bestFit="1" customWidth="1"/>
    <col min="2" max="2" width="5.453125" bestFit="1" customWidth="1"/>
    <col min="3" max="3" width="13.81640625" bestFit="1" customWidth="1"/>
    <col min="4" max="4" width="6.453125" bestFit="1" customWidth="1"/>
    <col min="5" max="5" width="5.81640625" bestFit="1" customWidth="1"/>
    <col min="6" max="6" width="11.81640625" bestFit="1" customWidth="1"/>
    <col min="7" max="7" width="10.7265625" bestFit="1" customWidth="1"/>
    <col min="8" max="8" width="12.1796875" bestFit="1" customWidth="1"/>
    <col min="9" max="9" width="10.81640625" bestFit="1" customWidth="1"/>
    <col min="10" max="10" width="12.1796875" bestFit="1" customWidth="1"/>
    <col min="11" max="11" width="10.81640625" bestFit="1" customWidth="1"/>
    <col min="12" max="12" width="4.81640625" bestFit="1" customWidth="1"/>
    <col min="15" max="15" width="11.81640625" bestFit="1" customWidth="1"/>
    <col min="16" max="16" width="2" bestFit="1" customWidth="1"/>
  </cols>
  <sheetData>
    <row r="1" spans="1:16" x14ac:dyDescent="0.35">
      <c r="A1" s="11" t="s">
        <v>53</v>
      </c>
      <c r="B1" s="11" t="s">
        <v>54</v>
      </c>
      <c r="C1" s="11" t="s">
        <v>55</v>
      </c>
      <c r="D1" s="11" t="s">
        <v>56</v>
      </c>
      <c r="E1" s="11" t="s">
        <v>57</v>
      </c>
      <c r="F1" s="11" t="s">
        <v>58</v>
      </c>
      <c r="G1" s="11" t="s">
        <v>59</v>
      </c>
      <c r="H1" s="11" t="s">
        <v>60</v>
      </c>
      <c r="I1" s="11" t="s">
        <v>61</v>
      </c>
      <c r="J1" s="11" t="s">
        <v>60</v>
      </c>
      <c r="K1" s="11" t="s">
        <v>61</v>
      </c>
    </row>
    <row r="2" spans="1:16" x14ac:dyDescent="0.35">
      <c r="A2" s="4" t="s">
        <v>62</v>
      </c>
      <c r="B2" s="4">
        <v>74</v>
      </c>
      <c r="C2" s="4">
        <v>46</v>
      </c>
      <c r="D2" s="4" t="s">
        <v>63</v>
      </c>
      <c r="E2" s="4" t="s">
        <v>64</v>
      </c>
      <c r="F2" s="4"/>
      <c r="G2" s="4"/>
      <c r="H2" s="4"/>
      <c r="I2" s="4"/>
    </row>
    <row r="3" spans="1:16" x14ac:dyDescent="0.35">
      <c r="A3" s="4" t="s">
        <v>65</v>
      </c>
      <c r="B3" s="4">
        <v>77</v>
      </c>
      <c r="C3" s="4">
        <v>72</v>
      </c>
      <c r="D3" s="4" t="s">
        <v>63</v>
      </c>
      <c r="E3" s="4" t="s">
        <v>66</v>
      </c>
      <c r="F3" s="4"/>
      <c r="G3" s="4"/>
      <c r="H3" s="4"/>
      <c r="I3" s="4"/>
      <c r="O3" t="s">
        <v>67</v>
      </c>
    </row>
    <row r="4" spans="1:16" x14ac:dyDescent="0.35">
      <c r="A4" s="4" t="s">
        <v>68</v>
      </c>
      <c r="B4" s="4">
        <v>94</v>
      </c>
      <c r="C4" s="4">
        <v>53</v>
      </c>
      <c r="D4" s="4" t="s">
        <v>63</v>
      </c>
      <c r="E4" s="4" t="s">
        <v>66</v>
      </c>
      <c r="F4" s="4"/>
      <c r="G4" s="4"/>
      <c r="H4" s="4"/>
      <c r="I4" s="4"/>
      <c r="O4" t="s">
        <v>69</v>
      </c>
    </row>
    <row r="5" spans="1:16" x14ac:dyDescent="0.35">
      <c r="A5" s="4" t="s">
        <v>70</v>
      </c>
      <c r="B5" s="4">
        <v>97</v>
      </c>
      <c r="C5" s="4">
        <v>47</v>
      </c>
      <c r="D5" s="4" t="s">
        <v>71</v>
      </c>
      <c r="E5" s="4" t="s">
        <v>72</v>
      </c>
      <c r="F5" s="4"/>
      <c r="G5" s="4"/>
      <c r="H5" s="4"/>
      <c r="I5" s="4"/>
    </row>
    <row r="6" spans="1:16" x14ac:dyDescent="0.35">
      <c r="A6" s="4" t="s">
        <v>73</v>
      </c>
      <c r="B6" s="4">
        <v>97</v>
      </c>
      <c r="C6" s="4">
        <v>71</v>
      </c>
      <c r="D6" s="4" t="s">
        <v>71</v>
      </c>
      <c r="E6" s="4" t="s">
        <v>66</v>
      </c>
      <c r="F6" s="4"/>
      <c r="G6" s="4"/>
      <c r="H6" s="4"/>
      <c r="I6" s="4"/>
      <c r="O6" t="s">
        <v>74</v>
      </c>
      <c r="P6" t="s">
        <v>75</v>
      </c>
    </row>
    <row r="7" spans="1:16" x14ac:dyDescent="0.35">
      <c r="A7" s="4" t="s">
        <v>76</v>
      </c>
      <c r="B7" s="4">
        <v>39</v>
      </c>
      <c r="C7" s="4">
        <v>65</v>
      </c>
      <c r="D7" s="4" t="s">
        <v>77</v>
      </c>
      <c r="E7" s="4" t="s">
        <v>75</v>
      </c>
      <c r="F7" s="4"/>
      <c r="G7" s="4"/>
      <c r="H7" s="4"/>
      <c r="I7" s="4"/>
      <c r="O7" t="s">
        <v>78</v>
      </c>
      <c r="P7" t="s">
        <v>79</v>
      </c>
    </row>
    <row r="8" spans="1:16" x14ac:dyDescent="0.35">
      <c r="A8" s="4" t="s">
        <v>80</v>
      </c>
      <c r="B8" s="4">
        <v>51</v>
      </c>
      <c r="C8" s="4">
        <v>95</v>
      </c>
      <c r="D8" s="4" t="s">
        <v>63</v>
      </c>
      <c r="E8" s="4" t="s">
        <v>66</v>
      </c>
      <c r="F8" s="4"/>
      <c r="G8" s="4"/>
      <c r="H8" s="4"/>
      <c r="I8" s="4"/>
      <c r="O8" t="s">
        <v>81</v>
      </c>
      <c r="P8" t="s">
        <v>82</v>
      </c>
    </row>
    <row r="9" spans="1:16" x14ac:dyDescent="0.35">
      <c r="A9" s="4" t="s">
        <v>83</v>
      </c>
      <c r="B9" s="4">
        <v>60</v>
      </c>
      <c r="C9" s="4">
        <v>93</v>
      </c>
      <c r="D9" s="4" t="s">
        <v>63</v>
      </c>
      <c r="E9" s="4" t="s">
        <v>84</v>
      </c>
      <c r="F9" s="4"/>
      <c r="G9" s="4"/>
      <c r="H9" s="4"/>
      <c r="I9" s="4"/>
      <c r="O9" t="s">
        <v>85</v>
      </c>
      <c r="P9" t="s">
        <v>86</v>
      </c>
    </row>
    <row r="10" spans="1:16" x14ac:dyDescent="0.35">
      <c r="A10" s="4" t="s">
        <v>87</v>
      </c>
      <c r="B10" s="4">
        <v>42</v>
      </c>
      <c r="C10" s="4">
        <v>67</v>
      </c>
      <c r="D10" s="4" t="s">
        <v>71</v>
      </c>
      <c r="E10" s="4" t="s">
        <v>64</v>
      </c>
      <c r="F10" s="4"/>
      <c r="G10" s="4"/>
      <c r="H10" s="4"/>
      <c r="I10" s="4"/>
      <c r="O10" t="s">
        <v>88</v>
      </c>
      <c r="P10" t="s">
        <v>89</v>
      </c>
    </row>
    <row r="11" spans="1:16" x14ac:dyDescent="0.35">
      <c r="A11" s="4" t="s">
        <v>90</v>
      </c>
      <c r="B11" s="4">
        <v>88</v>
      </c>
      <c r="C11" s="4">
        <v>61</v>
      </c>
      <c r="D11" s="4" t="s">
        <v>91</v>
      </c>
      <c r="E11" s="4" t="s">
        <v>72</v>
      </c>
      <c r="F11" s="4"/>
      <c r="G11" s="4"/>
      <c r="H11" s="4"/>
      <c r="I11" s="4"/>
    </row>
    <row r="12" spans="1:16" x14ac:dyDescent="0.35">
      <c r="A12" s="4" t="s">
        <v>92</v>
      </c>
      <c r="B12" s="4">
        <v>95</v>
      </c>
      <c r="C12" s="4">
        <v>56</v>
      </c>
      <c r="D12" s="4" t="s">
        <v>63</v>
      </c>
      <c r="E12" s="4" t="s">
        <v>84</v>
      </c>
      <c r="F12" s="4"/>
      <c r="G12" s="4"/>
      <c r="H12" s="4"/>
      <c r="I12" s="4"/>
    </row>
    <row r="13" spans="1:16" x14ac:dyDescent="0.35">
      <c r="A13" s="4" t="s">
        <v>93</v>
      </c>
      <c r="B13" s="4">
        <v>69</v>
      </c>
      <c r="C13" s="4">
        <v>78</v>
      </c>
      <c r="D13" s="4" t="s">
        <v>71</v>
      </c>
      <c r="E13" s="4" t="s">
        <v>66</v>
      </c>
      <c r="F13" s="4"/>
      <c r="G13" s="4"/>
      <c r="H13" s="4"/>
      <c r="I13" s="4"/>
    </row>
    <row r="14" spans="1:16" x14ac:dyDescent="0.35">
      <c r="A14" s="4" t="s">
        <v>94</v>
      </c>
      <c r="B14" s="4">
        <v>75</v>
      </c>
      <c r="C14" s="4">
        <v>67</v>
      </c>
      <c r="D14" s="4" t="s">
        <v>77</v>
      </c>
      <c r="E14" s="4" t="s">
        <v>84</v>
      </c>
      <c r="F14" s="4"/>
      <c r="G14" s="4"/>
      <c r="H14" s="4"/>
      <c r="I14" s="4"/>
    </row>
    <row r="15" spans="1:16" x14ac:dyDescent="0.35">
      <c r="A15" s="4" t="s">
        <v>95</v>
      </c>
      <c r="B15" s="4">
        <v>67</v>
      </c>
      <c r="C15" s="4">
        <v>59</v>
      </c>
      <c r="D15" s="4" t="s">
        <v>77</v>
      </c>
      <c r="E15" s="4" t="s">
        <v>84</v>
      </c>
      <c r="F15" s="4"/>
      <c r="G15" s="4"/>
      <c r="H15" s="4"/>
      <c r="I15" s="4"/>
    </row>
    <row r="16" spans="1:16" x14ac:dyDescent="0.35">
      <c r="A16" s="4" t="s">
        <v>96</v>
      </c>
      <c r="B16" s="4">
        <v>55</v>
      </c>
      <c r="C16" s="4">
        <v>61</v>
      </c>
      <c r="D16" s="4" t="s">
        <v>91</v>
      </c>
      <c r="E16" s="4" t="s">
        <v>84</v>
      </c>
      <c r="F16" s="4"/>
      <c r="G16" s="4"/>
      <c r="H16" s="4"/>
      <c r="I16" s="4"/>
    </row>
    <row r="17" spans="1:9" x14ac:dyDescent="0.35">
      <c r="A17" s="4" t="s">
        <v>97</v>
      </c>
      <c r="B17" s="4">
        <v>39</v>
      </c>
      <c r="C17" s="4">
        <v>45</v>
      </c>
      <c r="D17" s="4" t="s">
        <v>63</v>
      </c>
      <c r="E17" s="4" t="s">
        <v>66</v>
      </c>
      <c r="F17" s="4"/>
      <c r="G17" s="4"/>
      <c r="H17" s="4"/>
      <c r="I17" s="4"/>
    </row>
    <row r="18" spans="1:9" x14ac:dyDescent="0.35">
      <c r="A18" s="4" t="s">
        <v>98</v>
      </c>
      <c r="B18" s="4">
        <v>50</v>
      </c>
      <c r="C18" s="4">
        <v>79</v>
      </c>
      <c r="D18" s="4" t="s">
        <v>71</v>
      </c>
      <c r="E18" s="4" t="s">
        <v>84</v>
      </c>
      <c r="F18" s="4"/>
      <c r="G18" s="4"/>
      <c r="H18" s="4"/>
      <c r="I18" s="4"/>
    </row>
    <row r="19" spans="1:9" x14ac:dyDescent="0.35">
      <c r="A19" s="4" t="s">
        <v>99</v>
      </c>
      <c r="B19" s="4">
        <v>99</v>
      </c>
      <c r="C19" s="4">
        <v>93</v>
      </c>
      <c r="D19" s="4" t="s">
        <v>71</v>
      </c>
      <c r="E19" s="4" t="s">
        <v>84</v>
      </c>
      <c r="F19" s="4"/>
      <c r="G19" s="4"/>
      <c r="H19" s="4"/>
      <c r="I19" s="4"/>
    </row>
    <row r="20" spans="1:9" x14ac:dyDescent="0.35">
      <c r="A20" s="4" t="s">
        <v>100</v>
      </c>
      <c r="B20" s="4">
        <v>77</v>
      </c>
      <c r="C20" s="4">
        <v>58</v>
      </c>
      <c r="D20" s="4" t="s">
        <v>91</v>
      </c>
      <c r="E20" s="4" t="s">
        <v>84</v>
      </c>
      <c r="F20" s="4"/>
      <c r="G20" s="4"/>
      <c r="H20" s="4"/>
      <c r="I20" s="4"/>
    </row>
    <row r="21" spans="1:9" x14ac:dyDescent="0.35">
      <c r="A21" s="4" t="s">
        <v>101</v>
      </c>
      <c r="B21" s="4">
        <v>94</v>
      </c>
      <c r="C21" s="4">
        <v>95</v>
      </c>
      <c r="D21" s="4" t="s">
        <v>71</v>
      </c>
      <c r="E21" s="4" t="s">
        <v>75</v>
      </c>
      <c r="F21" s="4"/>
      <c r="G21" s="4"/>
      <c r="H21" s="4"/>
      <c r="I21" s="4"/>
    </row>
  </sheetData>
  <dataValidations count="1">
    <dataValidation type="whole" allowBlank="1" showInputMessage="1" showErrorMessage="1" sqref="B2:B21" xr:uid="{6A0977DE-18FE-42E9-A4ED-40C1CDCFAE66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A562-A0E7-4F4D-9039-2063AF45A8B4}">
  <dimension ref="A1:AB26"/>
  <sheetViews>
    <sheetView workbookViewId="0">
      <selection activeCell="T1" sqref="T1:AB24"/>
    </sheetView>
  </sheetViews>
  <sheetFormatPr defaultRowHeight="14.5" x14ac:dyDescent="0.35"/>
  <cols>
    <col min="1" max="1" width="9" bestFit="1" customWidth="1"/>
    <col min="2" max="2" width="11.1796875" bestFit="1" customWidth="1"/>
    <col min="3" max="3" width="3.81640625" bestFit="1" customWidth="1"/>
    <col min="4" max="4" width="7" bestFit="1" customWidth="1"/>
    <col min="5" max="5" width="5.81640625" bestFit="1" customWidth="1"/>
    <col min="6" max="6" width="15.54296875" bestFit="1" customWidth="1"/>
    <col min="7" max="7" width="17.453125" bestFit="1" customWidth="1"/>
    <col min="8" max="8" width="13.1796875" bestFit="1" customWidth="1"/>
    <col min="9" max="9" width="13.81640625" bestFit="1" customWidth="1"/>
    <col min="10" max="10" width="19.81640625" bestFit="1" customWidth="1"/>
    <col min="11" max="12" width="5" bestFit="1" customWidth="1"/>
    <col min="13" max="13" width="6.1796875" bestFit="1" customWidth="1"/>
    <col min="14" max="19" width="3.7265625" bestFit="1" customWidth="1"/>
  </cols>
  <sheetData>
    <row r="1" spans="1:28" ht="14.5" customHeight="1" x14ac:dyDescent="0.35">
      <c r="A1" s="11" t="s">
        <v>102</v>
      </c>
      <c r="B1" s="11" t="s">
        <v>103</v>
      </c>
      <c r="C1" s="11" t="s">
        <v>104</v>
      </c>
      <c r="D1" s="11" t="s">
        <v>105</v>
      </c>
      <c r="E1" s="11" t="s">
        <v>106</v>
      </c>
      <c r="F1" s="11" t="s">
        <v>107</v>
      </c>
      <c r="G1" s="11" t="s">
        <v>108</v>
      </c>
      <c r="H1" s="11" t="s">
        <v>109</v>
      </c>
      <c r="I1" s="11" t="s">
        <v>110</v>
      </c>
      <c r="J1" s="11" t="s">
        <v>111</v>
      </c>
      <c r="K1" s="12" t="s">
        <v>112</v>
      </c>
      <c r="L1" s="12" t="s">
        <v>113</v>
      </c>
      <c r="M1" s="37" t="s">
        <v>114</v>
      </c>
      <c r="N1" s="12" t="s">
        <v>115</v>
      </c>
      <c r="O1" s="12" t="s">
        <v>116</v>
      </c>
      <c r="P1" s="12" t="s">
        <v>117</v>
      </c>
      <c r="Q1" s="12" t="s">
        <v>118</v>
      </c>
      <c r="R1" s="12" t="s">
        <v>119</v>
      </c>
      <c r="S1" s="12" t="s">
        <v>120</v>
      </c>
      <c r="T1" s="49" t="s">
        <v>121</v>
      </c>
      <c r="U1" s="49"/>
      <c r="V1" s="49"/>
      <c r="W1" s="50" t="s">
        <v>122</v>
      </c>
      <c r="X1" s="50"/>
      <c r="Y1" s="50"/>
      <c r="Z1" s="49" t="s">
        <v>123</v>
      </c>
      <c r="AA1" s="49"/>
      <c r="AB1" s="49"/>
    </row>
    <row r="2" spans="1:28" x14ac:dyDescent="0.35">
      <c r="A2" s="4" t="s">
        <v>124</v>
      </c>
      <c r="B2" s="4" t="s">
        <v>125</v>
      </c>
      <c r="C2" s="4">
        <v>28</v>
      </c>
      <c r="D2" s="4" t="s">
        <v>126</v>
      </c>
      <c r="E2" s="4">
        <v>8500</v>
      </c>
      <c r="F2" s="4">
        <v>3</v>
      </c>
      <c r="G2" s="4">
        <v>88</v>
      </c>
      <c r="H2" s="4">
        <v>95</v>
      </c>
      <c r="I2" s="4">
        <v>102</v>
      </c>
      <c r="J2" s="4">
        <v>90</v>
      </c>
      <c r="K2" s="4"/>
      <c r="L2" s="6"/>
      <c r="T2" s="49"/>
      <c r="U2" s="49"/>
      <c r="V2" s="49"/>
      <c r="W2" s="50"/>
      <c r="X2" s="50"/>
      <c r="Y2" s="50"/>
      <c r="Z2" s="49"/>
      <c r="AA2" s="49"/>
      <c r="AB2" s="49"/>
    </row>
    <row r="3" spans="1:28" x14ac:dyDescent="0.35">
      <c r="A3" s="4" t="s">
        <v>127</v>
      </c>
      <c r="B3" s="4" t="s">
        <v>128</v>
      </c>
      <c r="C3" s="4">
        <v>31</v>
      </c>
      <c r="D3" s="4" t="s">
        <v>84</v>
      </c>
      <c r="E3" s="4">
        <v>12000</v>
      </c>
      <c r="F3" s="4">
        <v>7</v>
      </c>
      <c r="G3" s="38">
        <v>80</v>
      </c>
      <c r="H3" s="4">
        <v>98</v>
      </c>
      <c r="I3" s="4">
        <v>0</v>
      </c>
      <c r="J3" s="4">
        <v>96</v>
      </c>
      <c r="K3" s="4"/>
      <c r="L3" s="6"/>
      <c r="T3" s="49"/>
      <c r="U3" s="49"/>
      <c r="V3" s="49"/>
      <c r="W3" s="50"/>
      <c r="X3" s="50"/>
      <c r="Y3" s="50"/>
      <c r="Z3" s="49"/>
      <c r="AA3" s="49"/>
      <c r="AB3" s="49"/>
    </row>
    <row r="4" spans="1:28" x14ac:dyDescent="0.35">
      <c r="A4" s="4" t="s">
        <v>129</v>
      </c>
      <c r="B4" s="4" t="s">
        <v>130</v>
      </c>
      <c r="C4" s="4">
        <v>25</v>
      </c>
      <c r="D4" s="4" t="s">
        <v>126</v>
      </c>
      <c r="E4" s="4">
        <v>10500</v>
      </c>
      <c r="F4" s="4">
        <v>2</v>
      </c>
      <c r="G4" s="4">
        <v>72</v>
      </c>
      <c r="H4" s="4">
        <v>85</v>
      </c>
      <c r="I4" s="4">
        <v>0</v>
      </c>
      <c r="J4" s="4">
        <v>70</v>
      </c>
      <c r="K4" s="4"/>
      <c r="L4" s="6"/>
      <c r="T4" s="49"/>
      <c r="U4" s="49"/>
      <c r="V4" s="49"/>
      <c r="W4" s="50"/>
      <c r="X4" s="50"/>
      <c r="Y4" s="50"/>
      <c r="Z4" s="49"/>
      <c r="AA4" s="49"/>
      <c r="AB4" s="49"/>
    </row>
    <row r="5" spans="1:28" x14ac:dyDescent="0.35">
      <c r="A5" s="4" t="s">
        <v>131</v>
      </c>
      <c r="B5" s="4" t="s">
        <v>132</v>
      </c>
      <c r="C5" s="4">
        <v>35</v>
      </c>
      <c r="D5" s="4" t="s">
        <v>84</v>
      </c>
      <c r="E5" s="4">
        <v>15500</v>
      </c>
      <c r="F5" s="4">
        <v>10</v>
      </c>
      <c r="G5" s="4">
        <v>97</v>
      </c>
      <c r="H5" s="4">
        <v>99</v>
      </c>
      <c r="I5" s="4">
        <v>0</v>
      </c>
      <c r="J5" s="4">
        <v>92</v>
      </c>
      <c r="K5" s="4"/>
      <c r="L5" s="6"/>
      <c r="T5" s="49"/>
      <c r="U5" s="49"/>
      <c r="V5" s="49"/>
      <c r="W5" s="50"/>
      <c r="X5" s="50"/>
      <c r="Y5" s="50"/>
      <c r="Z5" s="49"/>
      <c r="AA5" s="49"/>
      <c r="AB5" s="49"/>
    </row>
    <row r="6" spans="1:28" x14ac:dyDescent="0.35">
      <c r="A6" s="4" t="s">
        <v>133</v>
      </c>
      <c r="B6" s="4" t="s">
        <v>134</v>
      </c>
      <c r="C6" s="4">
        <v>29</v>
      </c>
      <c r="D6" s="4" t="s">
        <v>126</v>
      </c>
      <c r="E6" s="4">
        <v>9200</v>
      </c>
      <c r="F6" s="4">
        <v>4</v>
      </c>
      <c r="G6" s="4">
        <v>83</v>
      </c>
      <c r="H6" s="4">
        <v>91</v>
      </c>
      <c r="I6" s="4">
        <v>95</v>
      </c>
      <c r="J6" s="4">
        <v>88</v>
      </c>
      <c r="K6" s="4"/>
      <c r="L6" s="6"/>
      <c r="T6" s="49"/>
      <c r="U6" s="49"/>
      <c r="V6" s="49"/>
      <c r="W6" s="50"/>
      <c r="X6" s="50"/>
      <c r="Y6" s="50"/>
      <c r="Z6" s="49"/>
      <c r="AA6" s="49"/>
      <c r="AB6" s="49"/>
    </row>
    <row r="7" spans="1:28" x14ac:dyDescent="0.35">
      <c r="A7" s="4" t="s">
        <v>135</v>
      </c>
      <c r="B7" s="4" t="s">
        <v>125</v>
      </c>
      <c r="C7" s="4">
        <v>26</v>
      </c>
      <c r="D7" s="4" t="s">
        <v>84</v>
      </c>
      <c r="E7" s="4">
        <v>8800</v>
      </c>
      <c r="F7" s="4">
        <v>3</v>
      </c>
      <c r="G7" s="4">
        <v>75</v>
      </c>
      <c r="H7" s="4">
        <v>89</v>
      </c>
      <c r="I7" s="4">
        <v>87</v>
      </c>
      <c r="J7" s="4">
        <v>79</v>
      </c>
      <c r="K7" s="4"/>
      <c r="L7" s="6"/>
      <c r="T7" s="49"/>
      <c r="U7" s="49"/>
      <c r="V7" s="49"/>
      <c r="W7" s="50"/>
      <c r="X7" s="50"/>
      <c r="Y7" s="50"/>
      <c r="Z7" s="49"/>
      <c r="AA7" s="49"/>
      <c r="AB7" s="49"/>
    </row>
    <row r="8" spans="1:28" x14ac:dyDescent="0.35">
      <c r="A8" s="4" t="s">
        <v>136</v>
      </c>
      <c r="B8" s="4" t="s">
        <v>128</v>
      </c>
      <c r="C8" s="4">
        <v>38</v>
      </c>
      <c r="D8" s="4" t="s">
        <v>126</v>
      </c>
      <c r="E8" s="4">
        <v>13500</v>
      </c>
      <c r="F8" s="4">
        <v>11</v>
      </c>
      <c r="G8" s="4">
        <v>96</v>
      </c>
      <c r="H8" s="4">
        <v>97</v>
      </c>
      <c r="I8" s="4">
        <v>0</v>
      </c>
      <c r="J8" s="4">
        <v>94</v>
      </c>
      <c r="K8" s="4"/>
      <c r="L8" s="6"/>
      <c r="T8" s="49"/>
      <c r="U8" s="49"/>
      <c r="V8" s="49"/>
      <c r="W8" s="50"/>
      <c r="X8" s="50"/>
      <c r="Y8" s="50"/>
      <c r="Z8" s="49"/>
      <c r="AA8" s="49"/>
      <c r="AB8" s="49"/>
    </row>
    <row r="9" spans="1:28" ht="14.5" customHeight="1" x14ac:dyDescent="0.35">
      <c r="A9" s="4" t="s">
        <v>137</v>
      </c>
      <c r="B9" s="4" t="s">
        <v>130</v>
      </c>
      <c r="C9" s="4">
        <v>27</v>
      </c>
      <c r="D9" s="4" t="s">
        <v>84</v>
      </c>
      <c r="E9" s="4">
        <v>11000</v>
      </c>
      <c r="F9" s="4">
        <v>4</v>
      </c>
      <c r="G9" s="4">
        <v>85</v>
      </c>
      <c r="H9" s="4">
        <v>92</v>
      </c>
      <c r="I9" s="4">
        <v>0</v>
      </c>
      <c r="J9" s="4">
        <v>86</v>
      </c>
      <c r="K9" s="4"/>
      <c r="L9" s="6"/>
      <c r="T9" s="50" t="s">
        <v>138</v>
      </c>
      <c r="U9" s="50"/>
      <c r="V9" s="50"/>
      <c r="W9" s="49" t="s">
        <v>139</v>
      </c>
      <c r="X9" s="49"/>
      <c r="Y9" s="49"/>
      <c r="Z9" s="50" t="s">
        <v>140</v>
      </c>
      <c r="AA9" s="50"/>
      <c r="AB9" s="50"/>
    </row>
    <row r="10" spans="1:28" x14ac:dyDescent="0.35">
      <c r="A10" s="4" t="s">
        <v>141</v>
      </c>
      <c r="B10" s="4" t="s">
        <v>132</v>
      </c>
      <c r="C10" s="4">
        <v>42</v>
      </c>
      <c r="D10" s="4" t="s">
        <v>126</v>
      </c>
      <c r="E10" s="4">
        <v>17000</v>
      </c>
      <c r="F10" s="4">
        <v>15</v>
      </c>
      <c r="G10" s="4">
        <v>99</v>
      </c>
      <c r="H10" s="4">
        <v>96</v>
      </c>
      <c r="I10" s="4">
        <v>0</v>
      </c>
      <c r="J10" s="4">
        <v>97</v>
      </c>
      <c r="K10" s="4"/>
      <c r="L10" s="6"/>
      <c r="T10" s="50"/>
      <c r="U10" s="50"/>
      <c r="V10" s="50"/>
      <c r="W10" s="49"/>
      <c r="X10" s="49"/>
      <c r="Y10" s="49"/>
      <c r="Z10" s="50"/>
      <c r="AA10" s="50"/>
      <c r="AB10" s="50"/>
    </row>
    <row r="11" spans="1:28" x14ac:dyDescent="0.35">
      <c r="A11" s="4" t="s">
        <v>142</v>
      </c>
      <c r="B11" s="4" t="s">
        <v>134</v>
      </c>
      <c r="C11" s="4">
        <v>24</v>
      </c>
      <c r="D11" s="4" t="s">
        <v>84</v>
      </c>
      <c r="E11" s="4">
        <v>7800</v>
      </c>
      <c r="F11" s="4">
        <v>1</v>
      </c>
      <c r="G11" s="4">
        <v>60</v>
      </c>
      <c r="H11" s="4">
        <v>83</v>
      </c>
      <c r="I11" s="4">
        <v>70</v>
      </c>
      <c r="J11" s="4">
        <v>60</v>
      </c>
      <c r="K11" s="4"/>
      <c r="L11" s="6"/>
      <c r="T11" s="50"/>
      <c r="U11" s="50"/>
      <c r="V11" s="50"/>
      <c r="W11" s="49"/>
      <c r="X11" s="49"/>
      <c r="Y11" s="49"/>
      <c r="Z11" s="50"/>
      <c r="AA11" s="50"/>
      <c r="AB11" s="50"/>
    </row>
    <row r="12" spans="1:28" x14ac:dyDescent="0.35">
      <c r="A12" s="4" t="s">
        <v>143</v>
      </c>
      <c r="B12" s="4" t="s">
        <v>125</v>
      </c>
      <c r="C12" s="4">
        <v>33</v>
      </c>
      <c r="D12" s="4" t="s">
        <v>126</v>
      </c>
      <c r="E12" s="4">
        <v>9500</v>
      </c>
      <c r="F12" s="4">
        <v>6</v>
      </c>
      <c r="G12" s="4">
        <v>89</v>
      </c>
      <c r="H12" s="4">
        <v>90</v>
      </c>
      <c r="I12" s="4">
        <v>99</v>
      </c>
      <c r="J12" s="4">
        <v>93</v>
      </c>
      <c r="K12" s="4"/>
      <c r="L12" s="6"/>
      <c r="T12" s="50"/>
      <c r="U12" s="50"/>
      <c r="V12" s="50"/>
      <c r="W12" s="49"/>
      <c r="X12" s="49"/>
      <c r="Y12" s="49"/>
      <c r="Z12" s="50"/>
      <c r="AA12" s="50"/>
      <c r="AB12" s="50"/>
    </row>
    <row r="13" spans="1:28" x14ac:dyDescent="0.35">
      <c r="A13" s="4" t="s">
        <v>144</v>
      </c>
      <c r="B13" s="4" t="s">
        <v>128</v>
      </c>
      <c r="C13" s="4">
        <v>30</v>
      </c>
      <c r="D13" s="4" t="s">
        <v>84</v>
      </c>
      <c r="E13" s="4">
        <v>12500</v>
      </c>
      <c r="F13" s="4">
        <v>5</v>
      </c>
      <c r="G13" s="4">
        <v>93</v>
      </c>
      <c r="H13" s="4">
        <v>98</v>
      </c>
      <c r="I13" s="4">
        <v>0</v>
      </c>
      <c r="J13" s="4">
        <v>95</v>
      </c>
      <c r="K13" s="4"/>
      <c r="L13" s="6"/>
      <c r="T13" s="50"/>
      <c r="U13" s="50"/>
      <c r="V13" s="50"/>
      <c r="W13" s="49"/>
      <c r="X13" s="49"/>
      <c r="Y13" s="49"/>
      <c r="Z13" s="50"/>
      <c r="AA13" s="50"/>
      <c r="AB13" s="50"/>
    </row>
    <row r="14" spans="1:28" x14ac:dyDescent="0.35">
      <c r="A14" s="4" t="s">
        <v>145</v>
      </c>
      <c r="B14" s="4" t="s">
        <v>130</v>
      </c>
      <c r="C14" s="4">
        <v>29</v>
      </c>
      <c r="D14" s="4" t="s">
        <v>126</v>
      </c>
      <c r="E14" s="4">
        <v>11200</v>
      </c>
      <c r="F14" s="4">
        <v>5</v>
      </c>
      <c r="G14" s="4">
        <v>84</v>
      </c>
      <c r="H14" s="4">
        <v>93</v>
      </c>
      <c r="I14" s="4">
        <v>0</v>
      </c>
      <c r="J14" s="4">
        <v>82</v>
      </c>
      <c r="K14" s="4"/>
      <c r="L14" s="6"/>
      <c r="T14" s="50"/>
      <c r="U14" s="50"/>
      <c r="V14" s="50"/>
      <c r="W14" s="49"/>
      <c r="X14" s="49"/>
      <c r="Y14" s="49"/>
      <c r="Z14" s="50"/>
      <c r="AA14" s="50"/>
      <c r="AB14" s="50"/>
    </row>
    <row r="15" spans="1:28" x14ac:dyDescent="0.35">
      <c r="A15" s="4" t="s">
        <v>146</v>
      </c>
      <c r="B15" s="4" t="s">
        <v>132</v>
      </c>
      <c r="C15" s="4">
        <v>40</v>
      </c>
      <c r="D15" s="4" t="s">
        <v>84</v>
      </c>
      <c r="E15" s="4">
        <v>16000</v>
      </c>
      <c r="F15" s="4">
        <v>12</v>
      </c>
      <c r="G15" s="4">
        <v>98</v>
      </c>
      <c r="H15" s="4">
        <v>99</v>
      </c>
      <c r="I15" s="4">
        <v>0</v>
      </c>
      <c r="J15" s="4">
        <v>97</v>
      </c>
      <c r="K15" s="4"/>
      <c r="L15" s="6"/>
      <c r="T15" s="50"/>
      <c r="U15" s="50"/>
      <c r="V15" s="50"/>
      <c r="W15" s="49"/>
      <c r="X15" s="49"/>
      <c r="Y15" s="49"/>
      <c r="Z15" s="50"/>
      <c r="AA15" s="50"/>
      <c r="AB15" s="50"/>
    </row>
    <row r="16" spans="1:28" x14ac:dyDescent="0.35">
      <c r="A16" s="4" t="s">
        <v>147</v>
      </c>
      <c r="B16" s="4" t="s">
        <v>134</v>
      </c>
      <c r="C16" s="4">
        <v>36</v>
      </c>
      <c r="D16" s="4" t="s">
        <v>126</v>
      </c>
      <c r="E16" s="4">
        <v>11800</v>
      </c>
      <c r="F16" s="4">
        <v>9</v>
      </c>
      <c r="G16" s="4">
        <v>87</v>
      </c>
      <c r="H16" s="4">
        <v>88</v>
      </c>
      <c r="I16" s="4">
        <v>97</v>
      </c>
      <c r="J16" s="4">
        <v>89</v>
      </c>
      <c r="K16" s="4"/>
      <c r="L16" s="6"/>
      <c r="T16" s="50"/>
      <c r="U16" s="50"/>
      <c r="V16" s="50"/>
      <c r="W16" s="49"/>
      <c r="X16" s="49"/>
      <c r="Y16" s="49"/>
      <c r="Z16" s="50"/>
      <c r="AA16" s="50"/>
      <c r="AB16" s="50"/>
    </row>
    <row r="17" spans="1:28" x14ac:dyDescent="0.35">
      <c r="A17" s="4" t="s">
        <v>148</v>
      </c>
      <c r="B17" s="4" t="s">
        <v>125</v>
      </c>
      <c r="C17" s="4">
        <v>27</v>
      </c>
      <c r="D17" s="4" t="s">
        <v>84</v>
      </c>
      <c r="E17" s="4">
        <v>8900</v>
      </c>
      <c r="F17" s="4">
        <v>2</v>
      </c>
      <c r="G17" s="4">
        <v>78</v>
      </c>
      <c r="H17" s="4">
        <v>86</v>
      </c>
      <c r="I17" s="4">
        <v>91</v>
      </c>
      <c r="J17" s="4">
        <v>84</v>
      </c>
      <c r="K17" s="4"/>
      <c r="L17" s="6"/>
      <c r="T17" s="49" t="s">
        <v>149</v>
      </c>
      <c r="U17" s="49"/>
      <c r="V17" s="49"/>
      <c r="W17" s="50" t="s">
        <v>150</v>
      </c>
      <c r="X17" s="50"/>
      <c r="Y17" s="50"/>
      <c r="Z17" s="49" t="s">
        <v>151</v>
      </c>
      <c r="AA17" s="49"/>
      <c r="AB17" s="49"/>
    </row>
    <row r="18" spans="1:28" x14ac:dyDescent="0.35">
      <c r="A18" s="4" t="s">
        <v>152</v>
      </c>
      <c r="B18" s="4" t="s">
        <v>128</v>
      </c>
      <c r="C18" s="4">
        <v>32</v>
      </c>
      <c r="D18" s="4" t="s">
        <v>126</v>
      </c>
      <c r="E18" s="4">
        <v>12800</v>
      </c>
      <c r="F18" s="4">
        <v>8</v>
      </c>
      <c r="G18" s="4">
        <v>91</v>
      </c>
      <c r="H18" s="4">
        <v>95</v>
      </c>
      <c r="I18" s="4">
        <v>0</v>
      </c>
      <c r="J18" s="4">
        <v>90</v>
      </c>
      <c r="K18" s="4"/>
      <c r="L18" s="6"/>
      <c r="T18" s="49"/>
      <c r="U18" s="49"/>
      <c r="V18" s="49"/>
      <c r="W18" s="50"/>
      <c r="X18" s="50"/>
      <c r="Y18" s="50"/>
      <c r="Z18" s="49"/>
      <c r="AA18" s="49"/>
      <c r="AB18" s="49"/>
    </row>
    <row r="19" spans="1:28" x14ac:dyDescent="0.35">
      <c r="A19" s="4" t="s">
        <v>153</v>
      </c>
      <c r="B19" s="4" t="s">
        <v>130</v>
      </c>
      <c r="C19" s="4">
        <v>26</v>
      </c>
      <c r="D19" s="4" t="s">
        <v>84</v>
      </c>
      <c r="E19" s="4">
        <v>9800</v>
      </c>
      <c r="F19" s="4">
        <v>2</v>
      </c>
      <c r="G19" s="4">
        <v>79</v>
      </c>
      <c r="H19" s="4">
        <v>90</v>
      </c>
      <c r="I19" s="4">
        <v>0</v>
      </c>
      <c r="J19" s="4">
        <v>77</v>
      </c>
      <c r="K19" s="4"/>
      <c r="L19" s="6"/>
      <c r="T19" s="49"/>
      <c r="U19" s="49"/>
      <c r="V19" s="49"/>
      <c r="W19" s="50"/>
      <c r="X19" s="50"/>
      <c r="Y19" s="50"/>
      <c r="Z19" s="49"/>
      <c r="AA19" s="49"/>
      <c r="AB19" s="49"/>
    </row>
    <row r="20" spans="1:28" x14ac:dyDescent="0.35">
      <c r="A20" s="4" t="s">
        <v>154</v>
      </c>
      <c r="B20" s="4" t="s">
        <v>132</v>
      </c>
      <c r="C20" s="4">
        <v>39</v>
      </c>
      <c r="D20" s="4" t="s">
        <v>126</v>
      </c>
      <c r="E20" s="4">
        <v>14200</v>
      </c>
      <c r="F20" s="4">
        <v>9</v>
      </c>
      <c r="G20" s="4">
        <v>90</v>
      </c>
      <c r="H20" s="4">
        <v>93</v>
      </c>
      <c r="I20" s="4">
        <v>0</v>
      </c>
      <c r="J20" s="4">
        <v>88</v>
      </c>
      <c r="K20" s="4"/>
      <c r="L20" s="6"/>
      <c r="T20" s="49"/>
      <c r="U20" s="49"/>
      <c r="V20" s="49"/>
      <c r="W20" s="50"/>
      <c r="X20" s="50"/>
      <c r="Y20" s="50"/>
      <c r="Z20" s="49"/>
      <c r="AA20" s="49"/>
      <c r="AB20" s="49"/>
    </row>
    <row r="21" spans="1:28" x14ac:dyDescent="0.35">
      <c r="A21" s="4" t="s">
        <v>155</v>
      </c>
      <c r="B21" s="4" t="s">
        <v>134</v>
      </c>
      <c r="C21" s="4">
        <v>25</v>
      </c>
      <c r="D21" s="4" t="s">
        <v>84</v>
      </c>
      <c r="E21" s="4">
        <v>8000</v>
      </c>
      <c r="F21" s="4">
        <v>2</v>
      </c>
      <c r="G21" s="4">
        <v>68</v>
      </c>
      <c r="H21" s="4">
        <v>82</v>
      </c>
      <c r="I21" s="4">
        <v>75</v>
      </c>
      <c r="J21" s="4">
        <v>70</v>
      </c>
      <c r="K21" s="4"/>
      <c r="L21" s="6"/>
      <c r="T21" s="49"/>
      <c r="U21" s="49"/>
      <c r="V21" s="49"/>
      <c r="W21" s="50"/>
      <c r="X21" s="50"/>
      <c r="Y21" s="50"/>
      <c r="Z21" s="49"/>
      <c r="AA21" s="49"/>
      <c r="AB21" s="49"/>
    </row>
    <row r="22" spans="1:28" x14ac:dyDescent="0.35">
      <c r="A22" s="4" t="s">
        <v>156</v>
      </c>
      <c r="B22" s="4" t="s">
        <v>125</v>
      </c>
      <c r="C22" s="4">
        <v>31</v>
      </c>
      <c r="D22" s="4" t="s">
        <v>126</v>
      </c>
      <c r="E22" s="4">
        <v>9700</v>
      </c>
      <c r="F22" s="4">
        <v>5</v>
      </c>
      <c r="G22" s="4">
        <v>85</v>
      </c>
      <c r="H22" s="4">
        <v>90</v>
      </c>
      <c r="I22" s="4">
        <v>100</v>
      </c>
      <c r="J22" s="4">
        <v>89</v>
      </c>
      <c r="K22" s="4"/>
      <c r="L22" s="6"/>
      <c r="T22" s="49"/>
      <c r="U22" s="49"/>
      <c r="V22" s="49"/>
      <c r="W22" s="50"/>
      <c r="X22" s="50"/>
      <c r="Y22" s="50"/>
      <c r="Z22" s="49"/>
      <c r="AA22" s="49"/>
      <c r="AB22" s="49"/>
    </row>
    <row r="23" spans="1:28" x14ac:dyDescent="0.35">
      <c r="A23" s="4" t="s">
        <v>157</v>
      </c>
      <c r="B23" s="4" t="s">
        <v>128</v>
      </c>
      <c r="C23" s="4">
        <v>45</v>
      </c>
      <c r="D23" s="4" t="s">
        <v>84</v>
      </c>
      <c r="E23" s="4">
        <v>15000</v>
      </c>
      <c r="F23" s="4">
        <v>18</v>
      </c>
      <c r="G23" s="4">
        <v>99</v>
      </c>
      <c r="H23" s="4">
        <v>99</v>
      </c>
      <c r="I23" s="4">
        <v>0</v>
      </c>
      <c r="J23" s="4">
        <v>98</v>
      </c>
      <c r="K23" s="4"/>
      <c r="L23" s="6"/>
      <c r="T23" s="49"/>
      <c r="U23" s="49"/>
      <c r="V23" s="49"/>
      <c r="W23" s="50"/>
      <c r="X23" s="50"/>
      <c r="Y23" s="50"/>
      <c r="Z23" s="49"/>
      <c r="AA23" s="49"/>
      <c r="AB23" s="49"/>
    </row>
    <row r="24" spans="1:28" x14ac:dyDescent="0.35">
      <c r="A24" s="4" t="s">
        <v>158</v>
      </c>
      <c r="B24" s="4" t="s">
        <v>130</v>
      </c>
      <c r="C24" s="4">
        <v>28</v>
      </c>
      <c r="D24" s="4" t="s">
        <v>126</v>
      </c>
      <c r="E24" s="4">
        <v>10800</v>
      </c>
      <c r="F24" s="4">
        <v>3</v>
      </c>
      <c r="G24" s="4">
        <v>83</v>
      </c>
      <c r="H24" s="4">
        <v>89</v>
      </c>
      <c r="I24" s="4">
        <v>0</v>
      </c>
      <c r="J24" s="4">
        <v>80</v>
      </c>
      <c r="K24" s="4"/>
      <c r="L24" s="6"/>
      <c r="T24" s="49"/>
      <c r="U24" s="49"/>
      <c r="V24" s="49"/>
      <c r="W24" s="50"/>
      <c r="X24" s="50"/>
      <c r="Y24" s="50"/>
      <c r="Z24" s="49"/>
      <c r="AA24" s="49"/>
      <c r="AB24" s="49"/>
    </row>
    <row r="25" spans="1:28" x14ac:dyDescent="0.35">
      <c r="A25" s="4" t="s">
        <v>159</v>
      </c>
      <c r="B25" s="4" t="s">
        <v>132</v>
      </c>
      <c r="C25" s="4">
        <v>34</v>
      </c>
      <c r="D25" s="4" t="s">
        <v>84</v>
      </c>
      <c r="E25" s="4">
        <v>13000</v>
      </c>
      <c r="F25" s="4">
        <v>7</v>
      </c>
      <c r="G25" s="4">
        <v>92</v>
      </c>
      <c r="H25" s="4">
        <v>97</v>
      </c>
      <c r="I25" s="4">
        <v>0</v>
      </c>
      <c r="J25" s="4">
        <v>93</v>
      </c>
      <c r="K25" s="4"/>
      <c r="L25" s="6"/>
    </row>
    <row r="26" spans="1:28" x14ac:dyDescent="0.35">
      <c r="A26" s="4" t="s">
        <v>160</v>
      </c>
      <c r="B26" s="4" t="s">
        <v>134</v>
      </c>
      <c r="C26" s="4">
        <v>37</v>
      </c>
      <c r="D26" s="4" t="s">
        <v>126</v>
      </c>
      <c r="E26" s="4">
        <v>12000</v>
      </c>
      <c r="F26" s="4">
        <v>10</v>
      </c>
      <c r="G26" s="4">
        <v>95</v>
      </c>
      <c r="H26" s="4">
        <v>96</v>
      </c>
      <c r="I26" s="4">
        <v>101</v>
      </c>
      <c r="J26" s="4">
        <v>91</v>
      </c>
      <c r="K26" s="4"/>
      <c r="L26" s="6"/>
    </row>
  </sheetData>
  <mergeCells count="9">
    <mergeCell ref="T17:V24"/>
    <mergeCell ref="W17:Y24"/>
    <mergeCell ref="Z1:AB8"/>
    <mergeCell ref="Z9:AB16"/>
    <mergeCell ref="Z17:AB24"/>
    <mergeCell ref="W1:Y8"/>
    <mergeCell ref="W9:Y16"/>
    <mergeCell ref="T1:V8"/>
    <mergeCell ref="T9:V16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zoomScale="85" zoomScaleNormal="85" workbookViewId="0">
      <selection activeCell="J6" sqref="J6:J16"/>
    </sheetView>
  </sheetViews>
  <sheetFormatPr defaultColWidth="9.1796875" defaultRowHeight="14.5" x14ac:dyDescent="0.35"/>
  <cols>
    <col min="1" max="1" width="9.1796875" style="33"/>
    <col min="2" max="2" width="13.7265625" style="33" bestFit="1" customWidth="1"/>
    <col min="3" max="3" width="9.54296875" style="33" customWidth="1"/>
    <col min="4" max="4" width="11.7265625" style="33" bestFit="1" customWidth="1"/>
    <col min="5" max="5" width="11.7265625" style="33" customWidth="1"/>
    <col min="6" max="6" width="13.1796875" style="33" bestFit="1" customWidth="1"/>
    <col min="7" max="7" width="7" style="33" bestFit="1" customWidth="1"/>
    <col min="8" max="8" width="11.7265625" style="33" bestFit="1" customWidth="1"/>
    <col min="9" max="9" width="9.1796875" style="33"/>
    <col min="10" max="10" width="10.81640625" style="33" customWidth="1"/>
    <col min="11" max="11" width="51.1796875" style="33" customWidth="1"/>
    <col min="12" max="16384" width="9.1796875" style="33"/>
  </cols>
  <sheetData>
    <row r="1" spans="1:11" x14ac:dyDescent="0.35">
      <c r="A1" s="33">
        <v>1</v>
      </c>
      <c r="B1" s="33">
        <v>2</v>
      </c>
      <c r="C1" s="33">
        <v>3</v>
      </c>
      <c r="D1" s="33">
        <v>4</v>
      </c>
    </row>
    <row r="2" spans="1:11" x14ac:dyDescent="0.35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J2" s="35" t="s">
        <v>161</v>
      </c>
      <c r="K2" s="35" t="s">
        <v>166</v>
      </c>
    </row>
    <row r="3" spans="1:11" x14ac:dyDescent="0.35">
      <c r="A3" s="3" t="s">
        <v>167</v>
      </c>
      <c r="B3" s="4" t="s">
        <v>168</v>
      </c>
      <c r="C3" s="4" t="s">
        <v>169</v>
      </c>
      <c r="D3" s="4">
        <v>136</v>
      </c>
      <c r="E3" s="4">
        <v>101</v>
      </c>
      <c r="F3" s="5">
        <v>13736</v>
      </c>
      <c r="J3" s="4" t="s">
        <v>170</v>
      </c>
      <c r="K3" s="4"/>
    </row>
    <row r="4" spans="1:11" x14ac:dyDescent="0.35">
      <c r="A4" s="3" t="s">
        <v>171</v>
      </c>
      <c r="B4" s="4" t="s">
        <v>172</v>
      </c>
      <c r="C4" s="4" t="s">
        <v>173</v>
      </c>
      <c r="D4" s="4">
        <v>128</v>
      </c>
      <c r="E4" s="4">
        <v>119</v>
      </c>
      <c r="F4" s="5">
        <v>15232</v>
      </c>
    </row>
    <row r="5" spans="1:11" x14ac:dyDescent="0.35">
      <c r="A5" s="3" t="s">
        <v>174</v>
      </c>
      <c r="B5" s="4" t="s">
        <v>175</v>
      </c>
      <c r="C5" s="4" t="s">
        <v>176</v>
      </c>
      <c r="D5" s="4">
        <v>130</v>
      </c>
      <c r="E5" s="4">
        <v>89</v>
      </c>
      <c r="F5" s="5">
        <v>11570</v>
      </c>
      <c r="K5" s="46"/>
    </row>
    <row r="6" spans="1:11" x14ac:dyDescent="0.35">
      <c r="A6" s="41" t="s">
        <v>177</v>
      </c>
      <c r="B6" s="4" t="s">
        <v>178</v>
      </c>
      <c r="C6" s="4" t="s">
        <v>173</v>
      </c>
      <c r="D6" s="4">
        <v>116</v>
      </c>
      <c r="E6" s="4">
        <v>116</v>
      </c>
      <c r="F6" s="5">
        <v>13456</v>
      </c>
    </row>
    <row r="7" spans="1:11" x14ac:dyDescent="0.35">
      <c r="A7" s="3" t="s">
        <v>179</v>
      </c>
      <c r="B7" s="4" t="s">
        <v>180</v>
      </c>
      <c r="C7" s="4" t="s">
        <v>173</v>
      </c>
      <c r="D7" s="4">
        <v>106</v>
      </c>
      <c r="E7" s="4">
        <v>129</v>
      </c>
      <c r="F7" s="5">
        <v>13674</v>
      </c>
    </row>
    <row r="8" spans="1:11" x14ac:dyDescent="0.35">
      <c r="A8" s="3" t="s">
        <v>181</v>
      </c>
      <c r="B8" s="4" t="s">
        <v>182</v>
      </c>
      <c r="C8" s="4" t="s">
        <v>176</v>
      </c>
      <c r="D8" s="4">
        <v>113</v>
      </c>
      <c r="E8" s="4">
        <v>124</v>
      </c>
      <c r="F8" s="5">
        <v>14012</v>
      </c>
    </row>
    <row r="9" spans="1:11" x14ac:dyDescent="0.35">
      <c r="A9" s="3" t="s">
        <v>183</v>
      </c>
      <c r="B9" s="4" t="s">
        <v>172</v>
      </c>
      <c r="C9" s="4" t="s">
        <v>176</v>
      </c>
      <c r="D9" s="4">
        <v>123</v>
      </c>
      <c r="E9" s="4">
        <v>119</v>
      </c>
      <c r="F9" s="5">
        <v>14637</v>
      </c>
    </row>
    <row r="10" spans="1:11" x14ac:dyDescent="0.35">
      <c r="A10" s="3" t="s">
        <v>184</v>
      </c>
      <c r="B10" s="4" t="s">
        <v>185</v>
      </c>
      <c r="C10" s="4" t="s">
        <v>173</v>
      </c>
      <c r="D10" s="4">
        <v>131</v>
      </c>
      <c r="E10" s="4">
        <v>116</v>
      </c>
      <c r="F10" s="5">
        <v>15196</v>
      </c>
    </row>
    <row r="11" spans="1:11" x14ac:dyDescent="0.35">
      <c r="A11" s="3" t="s">
        <v>186</v>
      </c>
      <c r="B11" s="4" t="s">
        <v>187</v>
      </c>
      <c r="C11" s="4" t="s">
        <v>176</v>
      </c>
      <c r="D11" s="4">
        <v>138</v>
      </c>
      <c r="E11" s="4">
        <v>104</v>
      </c>
      <c r="F11" s="5">
        <v>14352</v>
      </c>
      <c r="K11" s="34"/>
    </row>
    <row r="12" spans="1:11" x14ac:dyDescent="0.35">
      <c r="A12" s="3" t="s">
        <v>188</v>
      </c>
      <c r="B12" s="4" t="s">
        <v>180</v>
      </c>
      <c r="C12" s="4" t="s">
        <v>176</v>
      </c>
      <c r="D12" s="4">
        <v>127</v>
      </c>
      <c r="E12" s="4">
        <v>129</v>
      </c>
      <c r="F12" s="5">
        <v>16383</v>
      </c>
      <c r="K12" s="34"/>
    </row>
    <row r="13" spans="1:11" x14ac:dyDescent="0.35">
      <c r="A13" s="3" t="s">
        <v>170</v>
      </c>
      <c r="B13" s="4" t="s">
        <v>180</v>
      </c>
      <c r="C13" s="4" t="s">
        <v>169</v>
      </c>
      <c r="D13" s="4">
        <v>105</v>
      </c>
      <c r="E13" s="4">
        <v>129</v>
      </c>
      <c r="F13" s="5">
        <v>13545</v>
      </c>
    </row>
    <row r="14" spans="1:11" x14ac:dyDescent="0.35">
      <c r="A14" s="3" t="s">
        <v>189</v>
      </c>
      <c r="B14" s="4" t="s">
        <v>187</v>
      </c>
      <c r="C14" s="4" t="s">
        <v>169</v>
      </c>
      <c r="D14" s="4">
        <v>140</v>
      </c>
      <c r="E14" s="4">
        <v>104</v>
      </c>
      <c r="F14" s="5">
        <v>14560</v>
      </c>
    </row>
    <row r="15" spans="1:11" x14ac:dyDescent="0.35">
      <c r="A15" s="3" t="s">
        <v>190</v>
      </c>
      <c r="B15" s="4" t="s">
        <v>172</v>
      </c>
      <c r="C15" s="4" t="s">
        <v>169</v>
      </c>
      <c r="D15" s="4">
        <v>133</v>
      </c>
      <c r="E15" s="4">
        <v>119</v>
      </c>
      <c r="F15" s="5">
        <v>15827</v>
      </c>
    </row>
    <row r="16" spans="1:11" x14ac:dyDescent="0.35">
      <c r="A16" s="3" t="s">
        <v>191</v>
      </c>
      <c r="B16" s="4" t="s">
        <v>187</v>
      </c>
      <c r="C16" s="4" t="s">
        <v>173</v>
      </c>
      <c r="D16" s="4">
        <v>128</v>
      </c>
      <c r="E16" s="4">
        <v>104</v>
      </c>
      <c r="F16" s="5">
        <v>13312</v>
      </c>
    </row>
    <row r="17" spans="1:6" x14ac:dyDescent="0.35">
      <c r="A17" s="3" t="s">
        <v>192</v>
      </c>
      <c r="B17" s="4" t="s">
        <v>185</v>
      </c>
      <c r="C17" s="4" t="s">
        <v>176</v>
      </c>
      <c r="D17" s="4">
        <v>147</v>
      </c>
      <c r="E17" s="4">
        <v>116</v>
      </c>
      <c r="F17" s="5">
        <v>17052</v>
      </c>
    </row>
    <row r="18" spans="1:6" x14ac:dyDescent="0.35">
      <c r="A18" s="3" t="s">
        <v>193</v>
      </c>
      <c r="B18" s="4" t="s">
        <v>178</v>
      </c>
      <c r="C18" s="4" t="s">
        <v>169</v>
      </c>
      <c r="D18" s="4">
        <v>110</v>
      </c>
      <c r="E18" s="4">
        <v>116</v>
      </c>
      <c r="F18" s="5">
        <v>12760</v>
      </c>
    </row>
    <row r="19" spans="1:6" x14ac:dyDescent="0.35">
      <c r="A19" s="3" t="s">
        <v>194</v>
      </c>
      <c r="B19" s="4" t="s">
        <v>182</v>
      </c>
      <c r="C19" s="4" t="s">
        <v>173</v>
      </c>
      <c r="D19" s="4">
        <v>121</v>
      </c>
      <c r="E19" s="4">
        <v>124</v>
      </c>
      <c r="F19" s="5">
        <v>15004</v>
      </c>
    </row>
    <row r="20" spans="1:6" x14ac:dyDescent="0.35">
      <c r="A20" s="3" t="s">
        <v>195</v>
      </c>
      <c r="B20" s="4" t="s">
        <v>196</v>
      </c>
      <c r="C20" s="4" t="s">
        <v>176</v>
      </c>
      <c r="D20" s="4">
        <v>120</v>
      </c>
      <c r="E20" s="4">
        <v>109</v>
      </c>
      <c r="F20" s="5">
        <v>13080</v>
      </c>
    </row>
    <row r="21" spans="1:6" x14ac:dyDescent="0.35">
      <c r="A21" s="3" t="s">
        <v>197</v>
      </c>
      <c r="B21" s="4" t="s">
        <v>196</v>
      </c>
      <c r="C21" s="4" t="s">
        <v>173</v>
      </c>
      <c r="D21" s="4">
        <v>139</v>
      </c>
      <c r="E21" s="4">
        <v>109</v>
      </c>
      <c r="F21" s="5">
        <v>15151</v>
      </c>
    </row>
    <row r="22" spans="1:6" x14ac:dyDescent="0.35">
      <c r="A22" s="3" t="s">
        <v>198</v>
      </c>
      <c r="B22" s="4" t="s">
        <v>178</v>
      </c>
      <c r="C22" s="4" t="s">
        <v>176</v>
      </c>
      <c r="D22" s="4">
        <v>110</v>
      </c>
      <c r="E22" s="4">
        <v>116</v>
      </c>
      <c r="F22" s="5">
        <v>12760</v>
      </c>
    </row>
    <row r="23" spans="1:6" x14ac:dyDescent="0.35">
      <c r="A23" s="3" t="s">
        <v>199</v>
      </c>
      <c r="B23" s="4" t="s">
        <v>200</v>
      </c>
      <c r="C23" s="4" t="s">
        <v>173</v>
      </c>
      <c r="D23" s="4">
        <v>138</v>
      </c>
      <c r="E23" s="4">
        <v>79</v>
      </c>
      <c r="F23" s="5">
        <v>10902</v>
      </c>
    </row>
    <row r="24" spans="1:6" x14ac:dyDescent="0.35">
      <c r="A24" s="3" t="s">
        <v>201</v>
      </c>
      <c r="B24" s="4" t="s">
        <v>175</v>
      </c>
      <c r="C24" s="4" t="s">
        <v>169</v>
      </c>
      <c r="D24" s="4">
        <v>134</v>
      </c>
      <c r="E24" s="4">
        <v>89</v>
      </c>
      <c r="F24" s="5">
        <v>11926</v>
      </c>
    </row>
    <row r="25" spans="1:6" x14ac:dyDescent="0.35">
      <c r="A25" s="3" t="s">
        <v>202</v>
      </c>
      <c r="B25" s="4" t="s">
        <v>168</v>
      </c>
      <c r="C25" s="4" t="s">
        <v>176</v>
      </c>
      <c r="D25" s="4">
        <v>132</v>
      </c>
      <c r="E25" s="4">
        <v>101</v>
      </c>
      <c r="F25" s="5">
        <v>13332</v>
      </c>
    </row>
    <row r="26" spans="1:6" x14ac:dyDescent="0.35">
      <c r="A26" s="3" t="s">
        <v>203</v>
      </c>
      <c r="B26" s="4" t="s">
        <v>175</v>
      </c>
      <c r="C26" s="4" t="s">
        <v>173</v>
      </c>
      <c r="D26" s="4">
        <v>112</v>
      </c>
      <c r="E26" s="4">
        <v>89</v>
      </c>
      <c r="F26" s="5">
        <v>9968</v>
      </c>
    </row>
    <row r="27" spans="1:6" x14ac:dyDescent="0.35">
      <c r="A27" s="3" t="s">
        <v>204</v>
      </c>
      <c r="B27" s="4" t="s">
        <v>196</v>
      </c>
      <c r="C27" s="4" t="s">
        <v>169</v>
      </c>
      <c r="D27" s="4">
        <v>114</v>
      </c>
      <c r="E27" s="4">
        <v>109</v>
      </c>
      <c r="F27" s="5">
        <v>12426</v>
      </c>
    </row>
    <row r="28" spans="1:6" x14ac:dyDescent="0.35">
      <c r="A28" s="3" t="s">
        <v>205</v>
      </c>
      <c r="B28" s="4" t="s">
        <v>200</v>
      </c>
      <c r="C28" s="4" t="s">
        <v>169</v>
      </c>
      <c r="D28" s="4">
        <v>129</v>
      </c>
      <c r="E28" s="4">
        <v>79</v>
      </c>
      <c r="F28" s="5">
        <v>10191</v>
      </c>
    </row>
    <row r="29" spans="1:6" x14ac:dyDescent="0.35">
      <c r="A29" s="3" t="s">
        <v>206</v>
      </c>
      <c r="B29" s="4" t="s">
        <v>168</v>
      </c>
      <c r="C29" s="4" t="s">
        <v>173</v>
      </c>
      <c r="D29" s="4">
        <v>115</v>
      </c>
      <c r="E29" s="4">
        <v>101</v>
      </c>
      <c r="F29" s="5">
        <v>11615</v>
      </c>
    </row>
    <row r="30" spans="1:6" x14ac:dyDescent="0.35">
      <c r="A30" s="3" t="s">
        <v>207</v>
      </c>
      <c r="B30" s="4" t="s">
        <v>200</v>
      </c>
      <c r="C30" s="4" t="s">
        <v>176</v>
      </c>
      <c r="D30" s="4">
        <v>118</v>
      </c>
      <c r="E30" s="4">
        <v>79</v>
      </c>
      <c r="F30" s="5">
        <v>9322</v>
      </c>
    </row>
    <row r="31" spans="1:6" x14ac:dyDescent="0.35">
      <c r="A31" s="3" t="s">
        <v>208</v>
      </c>
      <c r="B31" s="4" t="s">
        <v>185</v>
      </c>
      <c r="C31" s="4" t="s">
        <v>169</v>
      </c>
      <c r="D31" s="4">
        <v>100</v>
      </c>
      <c r="E31" s="4">
        <v>116</v>
      </c>
      <c r="F31" s="5">
        <v>11600</v>
      </c>
    </row>
    <row r="32" spans="1:6" x14ac:dyDescent="0.35">
      <c r="A32" s="3" t="s">
        <v>209</v>
      </c>
      <c r="B32" s="4" t="s">
        <v>182</v>
      </c>
      <c r="C32" s="4" t="s">
        <v>169</v>
      </c>
      <c r="D32" s="4">
        <v>139</v>
      </c>
      <c r="E32" s="4">
        <v>124</v>
      </c>
      <c r="F32" s="5">
        <v>17236</v>
      </c>
    </row>
  </sheetData>
  <dataValidations count="1">
    <dataValidation type="list" allowBlank="1" showInputMessage="1" showErrorMessage="1" sqref="J3" xr:uid="{00000000-0002-0000-0000-000000000000}">
      <formula1>$A$3:$A$32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2"/>
  <sheetViews>
    <sheetView zoomScaleNormal="100" workbookViewId="0">
      <selection activeCell="M5" sqref="M5:N5"/>
    </sheetView>
  </sheetViews>
  <sheetFormatPr defaultColWidth="9.1796875" defaultRowHeight="14.5" x14ac:dyDescent="0.35"/>
  <cols>
    <col min="1" max="1" width="9.1796875" style="1"/>
    <col min="2" max="2" width="12.7265625" style="1" bestFit="1" customWidth="1"/>
    <col min="3" max="3" width="17.453125" style="1" bestFit="1" customWidth="1"/>
    <col min="4" max="4" width="11.1796875" style="1" bestFit="1" customWidth="1"/>
    <col min="5" max="5" width="12.7265625" style="1" bestFit="1" customWidth="1"/>
    <col min="6" max="6" width="9.453125" style="1" bestFit="1" customWidth="1"/>
    <col min="7" max="7" width="16.81640625" style="1" bestFit="1" customWidth="1"/>
    <col min="8" max="8" width="7" style="1" bestFit="1" customWidth="1"/>
    <col min="9" max="9" width="11.7265625" style="1" bestFit="1" customWidth="1"/>
    <col min="10" max="10" width="9.1796875" style="1"/>
    <col min="11" max="11" width="8.1796875" style="1" bestFit="1" customWidth="1"/>
    <col min="12" max="12" width="12.81640625" style="1" bestFit="1" customWidth="1"/>
    <col min="13" max="13" width="8.453125" style="1" bestFit="1" customWidth="1"/>
    <col min="14" max="14" width="12.453125" style="1" bestFit="1" customWidth="1"/>
    <col min="15" max="16384" width="9.1796875" style="1"/>
  </cols>
  <sheetData>
    <row r="2" spans="2:14" x14ac:dyDescent="0.35">
      <c r="B2" s="2" t="s">
        <v>161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166</v>
      </c>
    </row>
    <row r="3" spans="2:14" x14ac:dyDescent="0.35">
      <c r="B3" s="3" t="s">
        <v>167</v>
      </c>
      <c r="C3" s="4" t="s">
        <v>168</v>
      </c>
      <c r="D3" s="4" t="s">
        <v>169</v>
      </c>
      <c r="E3" s="4">
        <v>136</v>
      </c>
      <c r="F3" s="4">
        <v>101</v>
      </c>
      <c r="G3" s="5">
        <f t="shared" ref="G3:G32" si="0">F3*E3</f>
        <v>13736</v>
      </c>
    </row>
    <row r="4" spans="2:14" x14ac:dyDescent="0.35">
      <c r="B4" s="3" t="s">
        <v>171</v>
      </c>
      <c r="C4" s="4" t="s">
        <v>172</v>
      </c>
      <c r="D4" s="4" t="s">
        <v>173</v>
      </c>
      <c r="E4" s="4">
        <v>128</v>
      </c>
      <c r="F4" s="4">
        <v>119</v>
      </c>
      <c r="G4" s="5">
        <f t="shared" si="0"/>
        <v>15232</v>
      </c>
      <c r="K4" s="35" t="s">
        <v>210</v>
      </c>
      <c r="L4" s="35" t="s">
        <v>162</v>
      </c>
      <c r="M4" s="35" t="s">
        <v>161</v>
      </c>
      <c r="N4" s="35" t="s">
        <v>166</v>
      </c>
    </row>
    <row r="5" spans="2:14" x14ac:dyDescent="0.35">
      <c r="B5" s="3" t="s">
        <v>174</v>
      </c>
      <c r="C5" s="4" t="s">
        <v>175</v>
      </c>
      <c r="D5" s="4" t="s">
        <v>176</v>
      </c>
      <c r="E5" s="4">
        <v>130</v>
      </c>
      <c r="F5" s="4">
        <v>89</v>
      </c>
      <c r="G5" s="5">
        <f t="shared" si="0"/>
        <v>11570</v>
      </c>
      <c r="K5" s="2" t="s">
        <v>169</v>
      </c>
      <c r="L5" s="2" t="s">
        <v>200</v>
      </c>
      <c r="M5" s="4"/>
      <c r="N5" s="36"/>
    </row>
    <row r="6" spans="2:14" x14ac:dyDescent="0.35">
      <c r="B6" s="3" t="s">
        <v>177</v>
      </c>
      <c r="C6" s="4" t="s">
        <v>178</v>
      </c>
      <c r="D6" s="4" t="s">
        <v>173</v>
      </c>
      <c r="E6" s="4">
        <v>116</v>
      </c>
      <c r="F6" s="4">
        <v>116</v>
      </c>
      <c r="G6" s="5">
        <f t="shared" si="0"/>
        <v>13456</v>
      </c>
    </row>
    <row r="7" spans="2:14" x14ac:dyDescent="0.35">
      <c r="B7" s="3" t="s">
        <v>179</v>
      </c>
      <c r="C7" s="4" t="s">
        <v>180</v>
      </c>
      <c r="D7" s="4" t="s">
        <v>173</v>
      </c>
      <c r="E7" s="4">
        <v>106</v>
      </c>
      <c r="F7" s="4">
        <v>129</v>
      </c>
      <c r="G7" s="5">
        <f t="shared" si="0"/>
        <v>13674</v>
      </c>
    </row>
    <row r="8" spans="2:14" x14ac:dyDescent="0.35">
      <c r="B8" s="3" t="s">
        <v>181</v>
      </c>
      <c r="C8" s="4" t="s">
        <v>182</v>
      </c>
      <c r="D8" s="4" t="s">
        <v>176</v>
      </c>
      <c r="E8" s="4">
        <v>113</v>
      </c>
      <c r="F8" s="4">
        <v>124</v>
      </c>
      <c r="G8" s="5">
        <f t="shared" si="0"/>
        <v>14012</v>
      </c>
    </row>
    <row r="9" spans="2:14" x14ac:dyDescent="0.35">
      <c r="B9" s="3" t="s">
        <v>183</v>
      </c>
      <c r="C9" s="4" t="s">
        <v>172</v>
      </c>
      <c r="D9" s="4" t="s">
        <v>176</v>
      </c>
      <c r="E9" s="4">
        <v>123</v>
      </c>
      <c r="F9" s="4">
        <v>119</v>
      </c>
      <c r="G9" s="5">
        <f t="shared" si="0"/>
        <v>14637</v>
      </c>
    </row>
    <row r="10" spans="2:14" x14ac:dyDescent="0.35">
      <c r="B10" s="3" t="s">
        <v>184</v>
      </c>
      <c r="C10" s="4" t="s">
        <v>185</v>
      </c>
      <c r="D10" s="4" t="s">
        <v>173</v>
      </c>
      <c r="E10" s="4">
        <v>131</v>
      </c>
      <c r="F10" s="4">
        <v>116</v>
      </c>
      <c r="G10" s="5">
        <f t="shared" si="0"/>
        <v>15196</v>
      </c>
    </row>
    <row r="11" spans="2:14" x14ac:dyDescent="0.35">
      <c r="B11" s="3" t="s">
        <v>186</v>
      </c>
      <c r="C11" s="4" t="s">
        <v>187</v>
      </c>
      <c r="D11" s="4" t="s">
        <v>176</v>
      </c>
      <c r="E11" s="4">
        <v>138</v>
      </c>
      <c r="F11" s="4">
        <v>104</v>
      </c>
      <c r="G11" s="5">
        <f t="shared" si="0"/>
        <v>14352</v>
      </c>
    </row>
    <row r="12" spans="2:14" x14ac:dyDescent="0.35">
      <c r="B12" s="3" t="s">
        <v>188</v>
      </c>
      <c r="C12" s="4" t="s">
        <v>180</v>
      </c>
      <c r="D12" s="4" t="s">
        <v>176</v>
      </c>
      <c r="E12" s="4">
        <v>127</v>
      </c>
      <c r="F12" s="4">
        <v>129</v>
      </c>
      <c r="G12" s="5">
        <f t="shared" si="0"/>
        <v>16383</v>
      </c>
    </row>
    <row r="13" spans="2:14" x14ac:dyDescent="0.35">
      <c r="B13" s="3" t="s">
        <v>170</v>
      </c>
      <c r="C13" s="4" t="s">
        <v>180</v>
      </c>
      <c r="D13" s="4" t="s">
        <v>169</v>
      </c>
      <c r="E13" s="4">
        <v>105</v>
      </c>
      <c r="F13" s="4">
        <v>129</v>
      </c>
      <c r="G13" s="5">
        <f t="shared" si="0"/>
        <v>13545</v>
      </c>
    </row>
    <row r="14" spans="2:14" x14ac:dyDescent="0.35">
      <c r="B14" s="3" t="s">
        <v>189</v>
      </c>
      <c r="C14" s="4" t="s">
        <v>187</v>
      </c>
      <c r="D14" s="4" t="s">
        <v>169</v>
      </c>
      <c r="E14" s="4">
        <v>140</v>
      </c>
      <c r="F14" s="4">
        <v>104</v>
      </c>
      <c r="G14" s="5">
        <f t="shared" si="0"/>
        <v>14560</v>
      </c>
    </row>
    <row r="15" spans="2:14" x14ac:dyDescent="0.35">
      <c r="B15" s="3" t="s">
        <v>190</v>
      </c>
      <c r="C15" s="4" t="s">
        <v>172</v>
      </c>
      <c r="D15" s="4" t="s">
        <v>169</v>
      </c>
      <c r="E15" s="4">
        <v>133</v>
      </c>
      <c r="F15" s="4">
        <v>119</v>
      </c>
      <c r="G15" s="5">
        <f t="shared" si="0"/>
        <v>15827</v>
      </c>
    </row>
    <row r="16" spans="2:14" x14ac:dyDescent="0.35">
      <c r="B16" s="3" t="s">
        <v>191</v>
      </c>
      <c r="C16" s="4" t="s">
        <v>187</v>
      </c>
      <c r="D16" s="4" t="s">
        <v>173</v>
      </c>
      <c r="E16" s="4">
        <v>128</v>
      </c>
      <c r="F16" s="4">
        <v>104</v>
      </c>
      <c r="G16" s="5">
        <f t="shared" si="0"/>
        <v>13312</v>
      </c>
    </row>
    <row r="17" spans="2:7" x14ac:dyDescent="0.35">
      <c r="B17" s="3" t="s">
        <v>192</v>
      </c>
      <c r="C17" s="4" t="s">
        <v>185</v>
      </c>
      <c r="D17" s="4" t="s">
        <v>176</v>
      </c>
      <c r="E17" s="4">
        <v>147</v>
      </c>
      <c r="F17" s="4">
        <v>116</v>
      </c>
      <c r="G17" s="5">
        <f t="shared" si="0"/>
        <v>17052</v>
      </c>
    </row>
    <row r="18" spans="2:7" x14ac:dyDescent="0.35">
      <c r="B18" s="3" t="s">
        <v>193</v>
      </c>
      <c r="C18" s="4" t="s">
        <v>178</v>
      </c>
      <c r="D18" s="4" t="s">
        <v>169</v>
      </c>
      <c r="E18" s="4">
        <v>110</v>
      </c>
      <c r="F18" s="4">
        <v>116</v>
      </c>
      <c r="G18" s="5">
        <f t="shared" si="0"/>
        <v>12760</v>
      </c>
    </row>
    <row r="19" spans="2:7" x14ac:dyDescent="0.35">
      <c r="B19" s="3" t="s">
        <v>194</v>
      </c>
      <c r="C19" s="4" t="s">
        <v>182</v>
      </c>
      <c r="D19" s="4" t="s">
        <v>173</v>
      </c>
      <c r="E19" s="4">
        <v>121</v>
      </c>
      <c r="F19" s="4">
        <v>124</v>
      </c>
      <c r="G19" s="5">
        <f t="shared" si="0"/>
        <v>15004</v>
      </c>
    </row>
    <row r="20" spans="2:7" x14ac:dyDescent="0.35">
      <c r="B20" s="3" t="s">
        <v>195</v>
      </c>
      <c r="C20" s="4" t="s">
        <v>196</v>
      </c>
      <c r="D20" s="4" t="s">
        <v>176</v>
      </c>
      <c r="E20" s="4">
        <v>120</v>
      </c>
      <c r="F20" s="4">
        <v>109</v>
      </c>
      <c r="G20" s="5">
        <f t="shared" si="0"/>
        <v>13080</v>
      </c>
    </row>
    <row r="21" spans="2:7" x14ac:dyDescent="0.35">
      <c r="B21" s="3" t="s">
        <v>197</v>
      </c>
      <c r="C21" s="4" t="s">
        <v>196</v>
      </c>
      <c r="D21" s="4" t="s">
        <v>173</v>
      </c>
      <c r="E21" s="4">
        <v>139</v>
      </c>
      <c r="F21" s="4">
        <v>109</v>
      </c>
      <c r="G21" s="5">
        <f t="shared" si="0"/>
        <v>15151</v>
      </c>
    </row>
    <row r="22" spans="2:7" x14ac:dyDescent="0.35">
      <c r="B22" s="3" t="s">
        <v>198</v>
      </c>
      <c r="C22" s="4" t="s">
        <v>178</v>
      </c>
      <c r="D22" s="4" t="s">
        <v>176</v>
      </c>
      <c r="E22" s="4">
        <v>110</v>
      </c>
      <c r="F22" s="4">
        <v>116</v>
      </c>
      <c r="G22" s="5">
        <f t="shared" si="0"/>
        <v>12760</v>
      </c>
    </row>
    <row r="23" spans="2:7" x14ac:dyDescent="0.35">
      <c r="B23" s="3" t="s">
        <v>199</v>
      </c>
      <c r="C23" s="4" t="s">
        <v>200</v>
      </c>
      <c r="D23" s="4" t="s">
        <v>173</v>
      </c>
      <c r="E23" s="4">
        <v>138</v>
      </c>
      <c r="F23" s="4">
        <v>79</v>
      </c>
      <c r="G23" s="5">
        <f t="shared" si="0"/>
        <v>10902</v>
      </c>
    </row>
    <row r="24" spans="2:7" x14ac:dyDescent="0.35">
      <c r="B24" s="3" t="s">
        <v>201</v>
      </c>
      <c r="C24" s="4" t="s">
        <v>175</v>
      </c>
      <c r="D24" s="4" t="s">
        <v>169</v>
      </c>
      <c r="E24" s="4">
        <v>134</v>
      </c>
      <c r="F24" s="4">
        <v>89</v>
      </c>
      <c r="G24" s="5">
        <f t="shared" si="0"/>
        <v>11926</v>
      </c>
    </row>
    <row r="25" spans="2:7" x14ac:dyDescent="0.35">
      <c r="B25" s="3" t="s">
        <v>202</v>
      </c>
      <c r="C25" s="4" t="s">
        <v>168</v>
      </c>
      <c r="D25" s="4" t="s">
        <v>176</v>
      </c>
      <c r="E25" s="4">
        <v>132</v>
      </c>
      <c r="F25" s="4">
        <v>101</v>
      </c>
      <c r="G25" s="5">
        <f t="shared" si="0"/>
        <v>13332</v>
      </c>
    </row>
    <row r="26" spans="2:7" x14ac:dyDescent="0.35">
      <c r="B26" s="3" t="s">
        <v>203</v>
      </c>
      <c r="C26" s="4" t="s">
        <v>175</v>
      </c>
      <c r="D26" s="4" t="s">
        <v>173</v>
      </c>
      <c r="E26" s="4">
        <v>112</v>
      </c>
      <c r="F26" s="4">
        <v>89</v>
      </c>
      <c r="G26" s="5">
        <f t="shared" si="0"/>
        <v>9968</v>
      </c>
    </row>
    <row r="27" spans="2:7" x14ac:dyDescent="0.35">
      <c r="B27" s="3" t="s">
        <v>204</v>
      </c>
      <c r="C27" s="4" t="s">
        <v>196</v>
      </c>
      <c r="D27" s="4" t="s">
        <v>169</v>
      </c>
      <c r="E27" s="4">
        <v>114</v>
      </c>
      <c r="F27" s="4">
        <v>109</v>
      </c>
      <c r="G27" s="5">
        <f t="shared" si="0"/>
        <v>12426</v>
      </c>
    </row>
    <row r="28" spans="2:7" x14ac:dyDescent="0.35">
      <c r="B28" s="3" t="s">
        <v>205</v>
      </c>
      <c r="C28" s="4" t="s">
        <v>200</v>
      </c>
      <c r="D28" s="4" t="s">
        <v>169</v>
      </c>
      <c r="E28" s="4">
        <v>129</v>
      </c>
      <c r="F28" s="4">
        <v>79</v>
      </c>
      <c r="G28" s="5">
        <f t="shared" si="0"/>
        <v>10191</v>
      </c>
    </row>
    <row r="29" spans="2:7" x14ac:dyDescent="0.35">
      <c r="B29" s="3" t="s">
        <v>206</v>
      </c>
      <c r="C29" s="4" t="s">
        <v>168</v>
      </c>
      <c r="D29" s="4" t="s">
        <v>173</v>
      </c>
      <c r="E29" s="4">
        <v>115</v>
      </c>
      <c r="F29" s="4">
        <v>101</v>
      </c>
      <c r="G29" s="5">
        <f t="shared" si="0"/>
        <v>11615</v>
      </c>
    </row>
    <row r="30" spans="2:7" x14ac:dyDescent="0.35">
      <c r="B30" s="3" t="s">
        <v>207</v>
      </c>
      <c r="C30" s="4" t="s">
        <v>200</v>
      </c>
      <c r="D30" s="4" t="s">
        <v>176</v>
      </c>
      <c r="E30" s="4">
        <v>118</v>
      </c>
      <c r="F30" s="4">
        <v>79</v>
      </c>
      <c r="G30" s="5">
        <f t="shared" si="0"/>
        <v>9322</v>
      </c>
    </row>
    <row r="31" spans="2:7" x14ac:dyDescent="0.35">
      <c r="B31" s="3" t="s">
        <v>208</v>
      </c>
      <c r="C31" s="4" t="s">
        <v>185</v>
      </c>
      <c r="D31" s="4" t="s">
        <v>169</v>
      </c>
      <c r="E31" s="4">
        <v>100</v>
      </c>
      <c r="F31" s="4">
        <v>116</v>
      </c>
      <c r="G31" s="5">
        <f t="shared" si="0"/>
        <v>11600</v>
      </c>
    </row>
    <row r="32" spans="2:7" x14ac:dyDescent="0.35">
      <c r="B32" s="3" t="s">
        <v>209</v>
      </c>
      <c r="C32" s="4" t="s">
        <v>182</v>
      </c>
      <c r="D32" s="4" t="s">
        <v>169</v>
      </c>
      <c r="E32" s="4">
        <v>139</v>
      </c>
      <c r="F32" s="4">
        <v>124</v>
      </c>
      <c r="G32" s="5">
        <f t="shared" si="0"/>
        <v>17236</v>
      </c>
    </row>
  </sheetData>
  <autoFilter ref="B2:G32" xr:uid="{00000000-0009-0000-0000-000001000000}"/>
  <sortState xmlns:xlrd2="http://schemas.microsoft.com/office/spreadsheetml/2017/richdata2" ref="B3:G32">
    <sortCondition ref="B3"/>
  </sortState>
  <dataValidations count="2">
    <dataValidation type="list" allowBlank="1" showInputMessage="1" showErrorMessage="1" sqref="K5" xr:uid="{00000000-0002-0000-0100-000000000000}">
      <formula1>"Branch 1,Branch 2,Branch 3"</formula1>
    </dataValidation>
    <dataValidation type="list" allowBlank="1" showInputMessage="1" showErrorMessage="1" sqref="L5" xr:uid="{00000000-0002-0000-0100-000001000000}">
      <formula1>"Product 1,Product 2,Product 3,Product 4,Product 5,Product 6,Product 7,Product 8,Product 9,Product 10"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80B6-DBEA-4707-AF40-75EEF0CA0374}">
  <dimension ref="A1:K23"/>
  <sheetViews>
    <sheetView workbookViewId="0">
      <selection activeCell="K4" sqref="K4"/>
    </sheetView>
  </sheetViews>
  <sheetFormatPr defaultRowHeight="14.5" x14ac:dyDescent="0.35"/>
  <cols>
    <col min="2" max="2" width="16.453125" bestFit="1" customWidth="1"/>
    <col min="3" max="3" width="11.453125" bestFit="1" customWidth="1"/>
    <col min="4" max="4" width="10.453125" bestFit="1" customWidth="1"/>
    <col min="5" max="5" width="13.26953125" bestFit="1" customWidth="1"/>
    <col min="6" max="6" width="12.7265625" bestFit="1" customWidth="1"/>
    <col min="10" max="10" width="13.54296875" bestFit="1" customWidth="1"/>
    <col min="11" max="11" width="12.7265625" bestFit="1" customWidth="1"/>
  </cols>
  <sheetData>
    <row r="1" spans="1:11" ht="15.5" x14ac:dyDescent="0.35">
      <c r="A1" s="13" t="s">
        <v>215</v>
      </c>
      <c r="B1" s="13" t="s">
        <v>211</v>
      </c>
      <c r="C1" s="13" t="s">
        <v>212</v>
      </c>
      <c r="D1" s="13" t="s">
        <v>213</v>
      </c>
      <c r="E1" s="13" t="s">
        <v>214</v>
      </c>
      <c r="F1" s="13" t="s">
        <v>215</v>
      </c>
      <c r="J1" s="51" t="s">
        <v>216</v>
      </c>
      <c r="K1" s="51"/>
    </row>
    <row r="2" spans="1:11" x14ac:dyDescent="0.35">
      <c r="A2" s="16">
        <v>1087.2660000000001</v>
      </c>
      <c r="B2" t="s">
        <v>217</v>
      </c>
      <c r="C2" s="14">
        <v>124300</v>
      </c>
      <c r="D2" s="15">
        <v>44754</v>
      </c>
      <c r="E2" s="16">
        <v>5436.33</v>
      </c>
      <c r="F2" s="16">
        <v>1087.2660000000001</v>
      </c>
    </row>
    <row r="3" spans="1:11" ht="15.5" x14ac:dyDescent="0.35">
      <c r="A3" s="16">
        <v>1239.48324</v>
      </c>
      <c r="B3" t="s">
        <v>218</v>
      </c>
      <c r="C3" s="14">
        <v>149160</v>
      </c>
      <c r="D3" s="15">
        <v>44751</v>
      </c>
      <c r="E3" s="16">
        <v>6197.4161999999997</v>
      </c>
      <c r="F3" s="16">
        <v>1239.48324</v>
      </c>
      <c r="J3" s="13" t="s">
        <v>211</v>
      </c>
      <c r="K3" s="13" t="s">
        <v>215</v>
      </c>
    </row>
    <row r="4" spans="1:11" x14ac:dyDescent="0.35">
      <c r="A4" s="16">
        <v>1413.0108935999999</v>
      </c>
      <c r="B4" t="s">
        <v>219</v>
      </c>
      <c r="C4" s="14">
        <v>152143.20000000001</v>
      </c>
      <c r="D4" s="15">
        <v>44753</v>
      </c>
      <c r="E4" s="16">
        <v>7065.0544679999994</v>
      </c>
      <c r="F4" s="16">
        <v>1413.0108935999999</v>
      </c>
      <c r="J4" t="s">
        <v>217</v>
      </c>
      <c r="K4" s="43"/>
    </row>
    <row r="5" spans="1:11" x14ac:dyDescent="0.35">
      <c r="A5" s="16">
        <v>1610.8324187039998</v>
      </c>
      <c r="B5" t="s">
        <v>220</v>
      </c>
      <c r="C5" s="14">
        <v>121714.56000000001</v>
      </c>
      <c r="D5" s="15">
        <v>44748</v>
      </c>
      <c r="E5" s="16">
        <v>8054.1620935199981</v>
      </c>
      <c r="F5" s="16">
        <v>1610.8324187039998</v>
      </c>
      <c r="J5" s="14"/>
    </row>
    <row r="6" spans="1:11" x14ac:dyDescent="0.35">
      <c r="A6" s="16">
        <v>1836.3489573225595</v>
      </c>
      <c r="B6" t="s">
        <v>221</v>
      </c>
      <c r="C6" s="14">
        <v>109543.10400000001</v>
      </c>
      <c r="D6" s="15">
        <v>44752</v>
      </c>
      <c r="E6" s="16">
        <v>9181.7447866127968</v>
      </c>
      <c r="F6" s="16">
        <v>1836.3489573225595</v>
      </c>
    </row>
    <row r="7" spans="1:11" x14ac:dyDescent="0.35">
      <c r="A7" s="16">
        <v>2093.4378113477173</v>
      </c>
      <c r="B7" t="s">
        <v>222</v>
      </c>
      <c r="C7" s="14">
        <v>120497.41440000002</v>
      </c>
      <c r="D7" s="15">
        <v>44755</v>
      </c>
      <c r="E7" s="16">
        <v>10467.189056738587</v>
      </c>
      <c r="F7" s="16">
        <v>2093.4378113477173</v>
      </c>
    </row>
    <row r="8" spans="1:11" x14ac:dyDescent="0.35">
      <c r="A8" s="16">
        <v>489.26970000000006</v>
      </c>
      <c r="B8" t="s">
        <v>223</v>
      </c>
      <c r="C8" s="14">
        <v>122907.36268800002</v>
      </c>
      <c r="D8" s="15">
        <v>44757</v>
      </c>
      <c r="E8" s="16">
        <v>2446.3485000000001</v>
      </c>
      <c r="F8" s="16">
        <v>489.26970000000006</v>
      </c>
    </row>
    <row r="9" spans="1:11" x14ac:dyDescent="0.35">
      <c r="A9" s="16">
        <v>538.19667000000015</v>
      </c>
      <c r="B9" t="s">
        <v>224</v>
      </c>
      <c r="C9" s="14">
        <v>98325.890150400024</v>
      </c>
      <c r="D9" s="15">
        <v>44754</v>
      </c>
      <c r="E9" s="16">
        <v>2690.9833500000004</v>
      </c>
      <c r="F9" s="16">
        <v>538.19667000000015</v>
      </c>
    </row>
    <row r="10" spans="1:11" x14ac:dyDescent="0.35">
      <c r="A10" s="16">
        <v>592.01633700000002</v>
      </c>
      <c r="B10" t="s">
        <v>225</v>
      </c>
      <c r="C10" s="14">
        <v>88493.30113536003</v>
      </c>
      <c r="D10" s="15">
        <v>44756</v>
      </c>
      <c r="E10" s="16">
        <v>2960.0816850000001</v>
      </c>
      <c r="F10" s="16">
        <v>592.01633700000002</v>
      </c>
    </row>
    <row r="11" spans="1:11" x14ac:dyDescent="0.35">
      <c r="A11" s="16">
        <v>651.21797070000002</v>
      </c>
      <c r="B11" t="s">
        <v>226</v>
      </c>
      <c r="C11" s="14">
        <v>97342.631248896039</v>
      </c>
      <c r="D11" s="15">
        <v>44751</v>
      </c>
      <c r="E11" s="16">
        <v>3256.0898535000001</v>
      </c>
      <c r="F11" s="16">
        <v>651.21797070000002</v>
      </c>
    </row>
    <row r="12" spans="1:11" x14ac:dyDescent="0.35">
      <c r="A12" s="16">
        <v>716.33976777000021</v>
      </c>
      <c r="B12" t="s">
        <v>227</v>
      </c>
      <c r="C12" s="14">
        <v>99289.483873873964</v>
      </c>
      <c r="D12" s="15">
        <v>44755</v>
      </c>
      <c r="E12" s="16">
        <v>3581.6988388500008</v>
      </c>
      <c r="F12" s="16">
        <v>716.33976777000021</v>
      </c>
    </row>
    <row r="13" spans="1:11" x14ac:dyDescent="0.35">
      <c r="A13" s="16">
        <v>787.97374454700036</v>
      </c>
      <c r="B13" t="s">
        <v>228</v>
      </c>
      <c r="C13" s="14">
        <v>79431.587099099183</v>
      </c>
      <c r="D13" s="15">
        <v>44758</v>
      </c>
      <c r="E13" s="16">
        <v>3939.8687227350015</v>
      </c>
      <c r="F13" s="16">
        <v>787.97374454700036</v>
      </c>
    </row>
    <row r="14" spans="1:11" x14ac:dyDescent="0.35">
      <c r="A14" s="16">
        <v>866.77111900170041</v>
      </c>
      <c r="B14" t="s">
        <v>229</v>
      </c>
      <c r="C14" s="14">
        <v>71488.42838918927</v>
      </c>
      <c r="D14" s="15">
        <v>44760</v>
      </c>
      <c r="E14" s="16">
        <v>4333.855595008502</v>
      </c>
      <c r="F14" s="16">
        <v>866.77111900170041</v>
      </c>
    </row>
    <row r="15" spans="1:11" x14ac:dyDescent="0.35">
      <c r="A15" s="16">
        <v>953.4482309018706</v>
      </c>
      <c r="B15" t="s">
        <v>230</v>
      </c>
      <c r="C15" s="14">
        <v>78637.271228108206</v>
      </c>
      <c r="D15" s="15">
        <v>44757</v>
      </c>
      <c r="E15" s="16">
        <v>4767.2411545093528</v>
      </c>
      <c r="F15" s="16">
        <v>953.4482309018706</v>
      </c>
    </row>
    <row r="16" spans="1:11" x14ac:dyDescent="0.35">
      <c r="A16" s="16">
        <v>1048.7930539920578</v>
      </c>
      <c r="B16" t="s">
        <v>231</v>
      </c>
      <c r="C16" s="14">
        <v>80210.016652670369</v>
      </c>
      <c r="D16" s="15">
        <v>44759</v>
      </c>
      <c r="E16" s="16">
        <v>5243.9652699602884</v>
      </c>
      <c r="F16" s="16">
        <v>1048.7930539920578</v>
      </c>
    </row>
    <row r="17" spans="1:6" x14ac:dyDescent="0.35">
      <c r="A17" s="16">
        <v>1153.6723593912636</v>
      </c>
      <c r="B17" t="s">
        <v>232</v>
      </c>
      <c r="C17" s="14">
        <v>64168.013322136299</v>
      </c>
      <c r="D17" s="15">
        <v>44754</v>
      </c>
      <c r="E17" s="16">
        <v>5768.3617969563174</v>
      </c>
      <c r="F17" s="16">
        <v>1153.6723593912636</v>
      </c>
    </row>
    <row r="18" spans="1:6" x14ac:dyDescent="0.35">
      <c r="A18" s="16">
        <v>1038.3051234521372</v>
      </c>
      <c r="B18" t="s">
        <v>233</v>
      </c>
      <c r="C18" s="14">
        <v>57751.211989922667</v>
      </c>
      <c r="D18" s="15">
        <v>44758</v>
      </c>
      <c r="E18" s="16">
        <v>5191.525617260686</v>
      </c>
      <c r="F18" s="16">
        <v>1038.3051234521372</v>
      </c>
    </row>
    <row r="19" spans="1:6" x14ac:dyDescent="0.35">
      <c r="A19" s="16">
        <v>1349.7966604877784</v>
      </c>
      <c r="B19" t="s">
        <v>234</v>
      </c>
      <c r="C19" s="14">
        <v>63526.333188914941</v>
      </c>
      <c r="D19" s="15">
        <v>44761</v>
      </c>
      <c r="E19" s="16">
        <v>6748.9833024388909</v>
      </c>
      <c r="F19" s="16">
        <v>1349.7966604877784</v>
      </c>
    </row>
    <row r="20" spans="1:6" x14ac:dyDescent="0.35">
      <c r="A20" s="16">
        <v>1754.7356586341118</v>
      </c>
      <c r="B20" t="s">
        <v>235</v>
      </c>
      <c r="C20" s="14">
        <v>64796.85985269324</v>
      </c>
      <c r="D20" s="15">
        <v>44763</v>
      </c>
      <c r="E20" s="16">
        <v>8773.6782931705584</v>
      </c>
      <c r="F20" s="16">
        <v>1754.7356586341118</v>
      </c>
    </row>
    <row r="21" spans="1:6" x14ac:dyDescent="0.35">
      <c r="A21" s="16">
        <v>2281.1563562243459</v>
      </c>
      <c r="B21" t="s">
        <v>236</v>
      </c>
      <c r="C21" s="14">
        <v>51837.487882154594</v>
      </c>
      <c r="D21" s="15">
        <v>44760</v>
      </c>
      <c r="E21" s="16">
        <v>11405.781781121728</v>
      </c>
      <c r="F21" s="16">
        <v>2281.1563562243459</v>
      </c>
    </row>
    <row r="22" spans="1:6" x14ac:dyDescent="0.35">
      <c r="A22" s="16">
        <v>1330</v>
      </c>
      <c r="B22" t="s">
        <v>237</v>
      </c>
      <c r="C22" s="14">
        <v>46653.739093939133</v>
      </c>
      <c r="D22" s="15">
        <v>44762</v>
      </c>
      <c r="E22" s="16">
        <v>6650</v>
      </c>
      <c r="F22" s="16">
        <v>1330</v>
      </c>
    </row>
    <row r="23" spans="1:6" x14ac:dyDescent="0.35">
      <c r="A23" s="16">
        <v>1468.2</v>
      </c>
      <c r="B23" t="s">
        <v>238</v>
      </c>
      <c r="C23" s="14">
        <v>51319.113003333048</v>
      </c>
      <c r="D23" s="15">
        <v>44757</v>
      </c>
      <c r="E23" s="16">
        <v>7341</v>
      </c>
      <c r="F23" s="16">
        <v>1468.2</v>
      </c>
    </row>
  </sheetData>
  <mergeCells count="1">
    <mergeCell ref="J1:K1"/>
  </mergeCells>
  <dataValidations count="1">
    <dataValidation type="list" allowBlank="1" showInputMessage="1" showErrorMessage="1" sqref="J4" xr:uid="{EFC3D3C5-488D-475D-AF4C-46689CD9AFB4}">
      <formula1>$B$2:$B$23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9926-ABC5-4FCD-BB7C-825AA0EEB9FE}">
  <dimension ref="A1:K23"/>
  <sheetViews>
    <sheetView workbookViewId="0">
      <selection activeCell="I3" sqref="I3"/>
    </sheetView>
  </sheetViews>
  <sheetFormatPr defaultRowHeight="14.5" x14ac:dyDescent="0.35"/>
  <cols>
    <col min="1" max="1" width="15.453125" bestFit="1" customWidth="1"/>
    <col min="2" max="2" width="10.7265625" bestFit="1" customWidth="1"/>
    <col min="3" max="3" width="9.453125" bestFit="1" customWidth="1"/>
    <col min="4" max="4" width="12.453125" bestFit="1" customWidth="1"/>
    <col min="5" max="5" width="12.1796875" bestFit="1" customWidth="1"/>
    <col min="8" max="8" width="15.453125" bestFit="1" customWidth="1"/>
    <col min="9" max="9" width="12.1796875" bestFit="1" customWidth="1"/>
    <col min="11" max="11" width="9.453125" bestFit="1" customWidth="1"/>
  </cols>
  <sheetData>
    <row r="1" spans="1:11" ht="15.5" x14ac:dyDescent="0.35">
      <c r="A1" s="17" t="s">
        <v>211</v>
      </c>
      <c r="B1" s="17" t="s">
        <v>212</v>
      </c>
      <c r="C1" s="17" t="s">
        <v>213</v>
      </c>
      <c r="D1" s="17" t="s">
        <v>214</v>
      </c>
      <c r="E1" s="17" t="s">
        <v>215</v>
      </c>
      <c r="H1" s="51" t="s">
        <v>239</v>
      </c>
      <c r="I1" s="51"/>
    </row>
    <row r="2" spans="1:11" ht="15.5" x14ac:dyDescent="0.35">
      <c r="A2" s="9" t="s">
        <v>230</v>
      </c>
      <c r="B2" s="18">
        <v>11123</v>
      </c>
      <c r="C2" s="19">
        <v>44757</v>
      </c>
      <c r="D2" s="20">
        <v>4767.2411545093528</v>
      </c>
      <c r="E2" s="20">
        <v>953.4482309018706</v>
      </c>
      <c r="H2" s="13" t="s">
        <v>211</v>
      </c>
      <c r="I2" s="13" t="s">
        <v>215</v>
      </c>
    </row>
    <row r="3" spans="1:11" x14ac:dyDescent="0.35">
      <c r="A3" s="9" t="s">
        <v>235</v>
      </c>
      <c r="B3" s="18">
        <v>11124</v>
      </c>
      <c r="C3" s="19">
        <v>44763</v>
      </c>
      <c r="D3" s="20">
        <v>8773.6782931705584</v>
      </c>
      <c r="E3" s="20">
        <v>1754.7356586341118</v>
      </c>
      <c r="H3" t="s">
        <v>220</v>
      </c>
      <c r="I3" s="47"/>
    </row>
    <row r="4" spans="1:11" x14ac:dyDescent="0.35">
      <c r="A4" s="9" t="s">
        <v>238</v>
      </c>
      <c r="B4" s="18">
        <v>11125</v>
      </c>
      <c r="C4" s="19">
        <v>44757</v>
      </c>
      <c r="D4" s="20">
        <v>7341</v>
      </c>
      <c r="E4" s="20">
        <v>1468.2</v>
      </c>
      <c r="J4" s="42"/>
      <c r="K4" s="15"/>
    </row>
    <row r="5" spans="1:11" x14ac:dyDescent="0.35">
      <c r="A5" s="9" t="s">
        <v>234</v>
      </c>
      <c r="B5" s="18">
        <v>11126</v>
      </c>
      <c r="C5" s="19">
        <v>44761</v>
      </c>
      <c r="D5" s="20">
        <v>6748.9833024388909</v>
      </c>
      <c r="E5" s="20">
        <v>1349.7966604877784</v>
      </c>
    </row>
    <row r="6" spans="1:11" x14ac:dyDescent="0.35">
      <c r="A6" s="9" t="s">
        <v>232</v>
      </c>
      <c r="B6" s="18">
        <v>11127</v>
      </c>
      <c r="C6" s="19">
        <v>44754</v>
      </c>
      <c r="D6" s="20">
        <v>5768.3617969563174</v>
      </c>
      <c r="E6" s="20">
        <v>1153.6723593912636</v>
      </c>
      <c r="H6" s="18"/>
    </row>
    <row r="7" spans="1:11" x14ac:dyDescent="0.35">
      <c r="A7" s="9" t="s">
        <v>236</v>
      </c>
      <c r="B7" s="18">
        <v>11128</v>
      </c>
      <c r="C7" s="19">
        <v>44760</v>
      </c>
      <c r="D7" s="20">
        <v>11405.781781121728</v>
      </c>
      <c r="E7" s="20">
        <v>2281.1563562243459</v>
      </c>
    </row>
    <row r="8" spans="1:11" x14ac:dyDescent="0.35">
      <c r="A8" s="9" t="s">
        <v>220</v>
      </c>
      <c r="B8" s="18">
        <v>11129</v>
      </c>
      <c r="C8" s="19">
        <v>44748</v>
      </c>
      <c r="D8" s="20">
        <v>8054.1620935199981</v>
      </c>
      <c r="E8" s="20">
        <v>1610.8324187039998</v>
      </c>
    </row>
    <row r="9" spans="1:11" x14ac:dyDescent="0.35">
      <c r="A9" s="9" t="s">
        <v>231</v>
      </c>
      <c r="B9" s="18">
        <v>11130</v>
      </c>
      <c r="C9" s="19">
        <v>44759</v>
      </c>
      <c r="D9" s="20">
        <v>5243.9652699602884</v>
      </c>
      <c r="E9" s="20">
        <v>1048.7930539920578</v>
      </c>
    </row>
    <row r="10" spans="1:11" x14ac:dyDescent="0.35">
      <c r="A10" s="9" t="s">
        <v>229</v>
      </c>
      <c r="B10" s="18">
        <v>11131</v>
      </c>
      <c r="C10" s="19">
        <v>44760</v>
      </c>
      <c r="D10" s="20">
        <v>4333.855595008502</v>
      </c>
      <c r="E10" s="20">
        <v>866.77111900170041</v>
      </c>
    </row>
    <row r="11" spans="1:11" x14ac:dyDescent="0.35">
      <c r="A11" s="9" t="s">
        <v>218</v>
      </c>
      <c r="B11" s="18">
        <v>11132</v>
      </c>
      <c r="C11" s="19">
        <v>44751</v>
      </c>
      <c r="D11" s="20">
        <v>6197.4161999999997</v>
      </c>
      <c r="E11" s="20">
        <v>1239.48324</v>
      </c>
    </row>
    <row r="12" spans="1:11" x14ac:dyDescent="0.35">
      <c r="A12" s="9" t="s">
        <v>221</v>
      </c>
      <c r="B12" s="18">
        <v>11133</v>
      </c>
      <c r="C12" s="19">
        <v>44752</v>
      </c>
      <c r="D12" s="20">
        <v>9181.7447866127968</v>
      </c>
      <c r="E12" s="20">
        <v>1836.3489573225595</v>
      </c>
    </row>
    <row r="13" spans="1:11" x14ac:dyDescent="0.35">
      <c r="A13" s="9" t="s">
        <v>237</v>
      </c>
      <c r="B13" s="18">
        <v>11134</v>
      </c>
      <c r="C13" s="19">
        <v>44762</v>
      </c>
      <c r="D13" s="20">
        <v>6650</v>
      </c>
      <c r="E13" s="20">
        <v>1330</v>
      </c>
    </row>
    <row r="14" spans="1:11" x14ac:dyDescent="0.35">
      <c r="A14" s="9" t="s">
        <v>233</v>
      </c>
      <c r="B14" s="18">
        <v>11135</v>
      </c>
      <c r="C14" s="19">
        <v>44758</v>
      </c>
      <c r="D14" s="20">
        <v>5191.525617260686</v>
      </c>
      <c r="E14" s="20">
        <v>1038.3051234521372</v>
      </c>
    </row>
    <row r="15" spans="1:11" x14ac:dyDescent="0.35">
      <c r="A15" s="9" t="s">
        <v>222</v>
      </c>
      <c r="B15" s="18">
        <v>11136</v>
      </c>
      <c r="C15" s="19">
        <v>44755</v>
      </c>
      <c r="D15" s="20">
        <v>10467.189056738587</v>
      </c>
      <c r="E15" s="20">
        <v>2093.4378113477173</v>
      </c>
    </row>
    <row r="16" spans="1:11" x14ac:dyDescent="0.35">
      <c r="A16" s="9" t="s">
        <v>223</v>
      </c>
      <c r="B16" s="18">
        <v>11137</v>
      </c>
      <c r="C16" s="19">
        <v>44757</v>
      </c>
      <c r="D16" s="20">
        <v>2446.3485000000001</v>
      </c>
      <c r="E16" s="20">
        <v>489.26970000000006</v>
      </c>
    </row>
    <row r="17" spans="1:5" x14ac:dyDescent="0.35">
      <c r="A17" s="9" t="s">
        <v>228</v>
      </c>
      <c r="B17" s="18">
        <v>11138</v>
      </c>
      <c r="C17" s="19">
        <v>44758</v>
      </c>
      <c r="D17" s="20">
        <v>3939.8687227350015</v>
      </c>
      <c r="E17" s="20">
        <v>787.97374454700036</v>
      </c>
    </row>
    <row r="18" spans="1:5" x14ac:dyDescent="0.35">
      <c r="A18" s="9" t="s">
        <v>217</v>
      </c>
      <c r="B18" s="18">
        <v>11139</v>
      </c>
      <c r="C18" s="19">
        <v>44754</v>
      </c>
      <c r="D18" s="20">
        <v>5436.33</v>
      </c>
      <c r="E18" s="20">
        <v>1087.2660000000001</v>
      </c>
    </row>
    <row r="19" spans="1:5" x14ac:dyDescent="0.35">
      <c r="A19" s="9" t="s">
        <v>224</v>
      </c>
      <c r="B19" s="18">
        <v>11140</v>
      </c>
      <c r="C19" s="19">
        <v>44754</v>
      </c>
      <c r="D19" s="20">
        <v>2690.9833500000004</v>
      </c>
      <c r="E19" s="20">
        <v>538.19667000000015</v>
      </c>
    </row>
    <row r="20" spans="1:5" x14ac:dyDescent="0.35">
      <c r="A20" s="9" t="s">
        <v>227</v>
      </c>
      <c r="B20" s="18">
        <v>11141</v>
      </c>
      <c r="C20" s="19">
        <v>44755</v>
      </c>
      <c r="D20" s="20">
        <v>3581.6988388500008</v>
      </c>
      <c r="E20" s="20">
        <v>716.33976777000021</v>
      </c>
    </row>
    <row r="21" spans="1:5" x14ac:dyDescent="0.35">
      <c r="A21" s="9" t="s">
        <v>225</v>
      </c>
      <c r="B21" s="18">
        <v>11142</v>
      </c>
      <c r="C21" s="19">
        <v>44756</v>
      </c>
      <c r="D21" s="20">
        <v>2960.0816850000001</v>
      </c>
      <c r="E21" s="20">
        <v>592.01633700000002</v>
      </c>
    </row>
    <row r="22" spans="1:5" x14ac:dyDescent="0.35">
      <c r="A22" s="9" t="s">
        <v>219</v>
      </c>
      <c r="B22" s="18">
        <v>11143</v>
      </c>
      <c r="C22" s="19">
        <v>44753</v>
      </c>
      <c r="D22" s="20">
        <v>7065.0544679999994</v>
      </c>
      <c r="E22" s="20">
        <v>1413.0108935999999</v>
      </c>
    </row>
    <row r="23" spans="1:5" x14ac:dyDescent="0.35">
      <c r="A23" s="9" t="s">
        <v>226</v>
      </c>
      <c r="B23" s="18">
        <v>11144</v>
      </c>
      <c r="C23" s="19">
        <v>44751</v>
      </c>
      <c r="D23" s="20">
        <v>3256.0898535000001</v>
      </c>
      <c r="E23" s="20">
        <v>651.21797070000002</v>
      </c>
    </row>
  </sheetData>
  <mergeCells count="1">
    <mergeCell ref="H1:I1"/>
  </mergeCells>
  <dataValidations count="1">
    <dataValidation type="list" allowBlank="1" showInputMessage="1" showErrorMessage="1" sqref="H3" xr:uid="{F7F4AB09-F870-4E94-902E-6BA8520E69C9}">
      <formula1>$A$2:$A$23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FB67-9906-4B3E-B020-1C199912E592}">
  <dimension ref="A1:I24"/>
  <sheetViews>
    <sheetView workbookViewId="0">
      <selection activeCell="I2" sqref="H2:I2"/>
    </sheetView>
  </sheetViews>
  <sheetFormatPr defaultRowHeight="14.5" x14ac:dyDescent="0.35"/>
  <cols>
    <col min="1" max="1" width="16.453125" bestFit="1" customWidth="1"/>
    <col min="2" max="5" width="6.81640625" bestFit="1" customWidth="1"/>
    <col min="7" max="7" width="16.453125" bestFit="1" customWidth="1"/>
    <col min="8" max="8" width="4.81640625" bestFit="1" customWidth="1"/>
    <col min="9" max="9" width="12.1796875" bestFit="1" customWidth="1"/>
  </cols>
  <sheetData>
    <row r="1" spans="1:9" ht="15.5" x14ac:dyDescent="0.35">
      <c r="A1" s="52" t="s">
        <v>240</v>
      </c>
      <c r="B1" s="52"/>
      <c r="C1" s="52"/>
      <c r="D1" s="52"/>
      <c r="E1" s="52"/>
      <c r="G1" s="21" t="s">
        <v>211</v>
      </c>
      <c r="H1" s="21" t="s">
        <v>241</v>
      </c>
      <c r="I1" s="21" t="s">
        <v>215</v>
      </c>
    </row>
    <row r="2" spans="1:9" ht="15.5" x14ac:dyDescent="0.35">
      <c r="A2" s="22" t="s">
        <v>242</v>
      </c>
      <c r="B2" s="23">
        <v>2019</v>
      </c>
      <c r="C2" s="23">
        <v>2020</v>
      </c>
      <c r="D2" s="23">
        <v>2021</v>
      </c>
      <c r="E2" s="23">
        <v>2022</v>
      </c>
      <c r="G2" s="24" t="s">
        <v>217</v>
      </c>
      <c r="I2" s="44"/>
    </row>
    <row r="3" spans="1:9" ht="15.5" x14ac:dyDescent="0.35">
      <c r="A3" s="24" t="s">
        <v>217</v>
      </c>
      <c r="B3" s="25">
        <v>1087.2660000000001</v>
      </c>
      <c r="C3" s="25">
        <v>1250.3559</v>
      </c>
      <c r="D3" s="25">
        <v>1187.838105</v>
      </c>
      <c r="E3" s="25">
        <v>1413.52734495</v>
      </c>
    </row>
    <row r="4" spans="1:9" ht="15.5" x14ac:dyDescent="0.35">
      <c r="A4" s="24" t="s">
        <v>218</v>
      </c>
      <c r="B4" s="25">
        <v>1239.48324</v>
      </c>
      <c r="C4" s="25">
        <v>1425.405726</v>
      </c>
      <c r="D4" s="25">
        <v>1354.1354397</v>
      </c>
      <c r="E4" s="25">
        <v>1611.4211732429999</v>
      </c>
    </row>
    <row r="5" spans="1:9" ht="15.5" x14ac:dyDescent="0.35">
      <c r="A5" s="24" t="s">
        <v>219</v>
      </c>
      <c r="B5" s="25">
        <v>1413.0108935999999</v>
      </c>
      <c r="C5" s="25">
        <v>1624.9625276399997</v>
      </c>
      <c r="D5" s="25">
        <v>1543.7144012579997</v>
      </c>
      <c r="E5" s="25">
        <v>1837.0201374970195</v>
      </c>
    </row>
    <row r="6" spans="1:9" ht="15.5" x14ac:dyDescent="0.35">
      <c r="A6" s="24" t="s">
        <v>220</v>
      </c>
      <c r="B6" s="25">
        <v>1610.8324187039998</v>
      </c>
      <c r="C6" s="25">
        <v>1852.4572815095996</v>
      </c>
      <c r="D6" s="25">
        <v>1759.8344174341196</v>
      </c>
      <c r="E6" s="25">
        <v>2094.202956746602</v>
      </c>
    </row>
    <row r="7" spans="1:9" ht="15.5" x14ac:dyDescent="0.35">
      <c r="A7" s="24" t="s">
        <v>221</v>
      </c>
      <c r="B7" s="25">
        <v>1836.3489573225595</v>
      </c>
      <c r="C7" s="25">
        <v>2111.801300920943</v>
      </c>
      <c r="D7" s="25">
        <v>2006.2112358748957</v>
      </c>
      <c r="E7" s="25">
        <v>2387.3913706911258</v>
      </c>
    </row>
    <row r="8" spans="1:9" ht="15.5" x14ac:dyDescent="0.35">
      <c r="A8" s="24" t="s">
        <v>222</v>
      </c>
      <c r="B8" s="25">
        <v>2093.4378113477173</v>
      </c>
      <c r="C8" s="25">
        <v>2407.4534830498746</v>
      </c>
      <c r="D8" s="25">
        <v>2287.0808088973808</v>
      </c>
      <c r="E8" s="25">
        <v>2721.6261625878833</v>
      </c>
    </row>
    <row r="9" spans="1:9" ht="15.5" x14ac:dyDescent="0.35">
      <c r="A9" s="24" t="s">
        <v>223</v>
      </c>
      <c r="B9" s="25">
        <v>489.26970000000006</v>
      </c>
      <c r="C9" s="25">
        <v>562.66015500000003</v>
      </c>
      <c r="D9" s="25">
        <v>534.52714724999998</v>
      </c>
      <c r="E9" s="25">
        <v>636.0873052275</v>
      </c>
    </row>
    <row r="10" spans="1:9" ht="15.5" x14ac:dyDescent="0.35">
      <c r="A10" s="24" t="s">
        <v>224</v>
      </c>
      <c r="B10" s="25">
        <v>538.19667000000015</v>
      </c>
      <c r="C10" s="25">
        <v>618.92617050000013</v>
      </c>
      <c r="D10" s="25">
        <v>587.97986197500006</v>
      </c>
      <c r="E10" s="25">
        <v>699.69603575025008</v>
      </c>
    </row>
    <row r="11" spans="1:9" ht="15.5" x14ac:dyDescent="0.35">
      <c r="A11" s="24" t="s">
        <v>225</v>
      </c>
      <c r="B11" s="25">
        <v>592.01633700000002</v>
      </c>
      <c r="C11" s="25">
        <v>680.81878755000002</v>
      </c>
      <c r="D11" s="25">
        <v>646.77784817249994</v>
      </c>
      <c r="E11" s="25">
        <v>769.66563932527492</v>
      </c>
    </row>
    <row r="12" spans="1:9" ht="15.5" x14ac:dyDescent="0.35">
      <c r="A12" s="24" t="s">
        <v>226</v>
      </c>
      <c r="B12" s="25">
        <v>651.21797070000002</v>
      </c>
      <c r="C12" s="25">
        <v>748.90066630499996</v>
      </c>
      <c r="D12" s="25">
        <v>711.45563298974992</v>
      </c>
      <c r="E12" s="25">
        <v>846.63220325780242</v>
      </c>
    </row>
    <row r="13" spans="1:9" ht="15.5" x14ac:dyDescent="0.35">
      <c r="A13" s="24" t="s">
        <v>227</v>
      </c>
      <c r="B13" s="25">
        <v>716.33976777000021</v>
      </c>
      <c r="C13" s="25">
        <v>823.79073293550016</v>
      </c>
      <c r="D13" s="25">
        <v>782.60119628872508</v>
      </c>
      <c r="E13" s="25">
        <v>931.29542358358276</v>
      </c>
    </row>
    <row r="14" spans="1:9" ht="15.5" x14ac:dyDescent="0.35">
      <c r="A14" s="24" t="s">
        <v>228</v>
      </c>
      <c r="B14" s="25">
        <v>787.97374454700036</v>
      </c>
      <c r="C14" s="25">
        <v>906.16980622905032</v>
      </c>
      <c r="D14" s="25">
        <v>860.86131591759772</v>
      </c>
      <c r="E14" s="25">
        <v>1024.4249659419413</v>
      </c>
    </row>
    <row r="15" spans="1:9" ht="15.5" x14ac:dyDescent="0.35">
      <c r="A15" s="24" t="s">
        <v>229</v>
      </c>
      <c r="B15" s="25">
        <v>866.77111900170041</v>
      </c>
      <c r="C15" s="25">
        <v>996.78678685195541</v>
      </c>
      <c r="D15" s="25">
        <v>946.94744750935763</v>
      </c>
      <c r="E15" s="25">
        <v>1126.8674625361355</v>
      </c>
    </row>
    <row r="16" spans="1:9" ht="15.5" x14ac:dyDescent="0.35">
      <c r="A16" s="24" t="s">
        <v>230</v>
      </c>
      <c r="B16" s="25">
        <v>953.4482309018706</v>
      </c>
      <c r="C16" s="25">
        <v>1096.4654655371512</v>
      </c>
      <c r="D16" s="25">
        <v>1041.6421922602935</v>
      </c>
      <c r="E16" s="25">
        <v>1239.5542087897493</v>
      </c>
    </row>
    <row r="17" spans="1:5" ht="15.5" x14ac:dyDescent="0.35">
      <c r="A17" s="24" t="s">
        <v>231</v>
      </c>
      <c r="B17" s="25">
        <v>1048.7930539920578</v>
      </c>
      <c r="C17" s="25">
        <v>1206.1120120908663</v>
      </c>
      <c r="D17" s="25">
        <v>1145.806411486323</v>
      </c>
      <c r="E17" s="25">
        <v>1363.5096296687243</v>
      </c>
    </row>
    <row r="18" spans="1:5" ht="15.5" x14ac:dyDescent="0.35">
      <c r="A18" s="24" t="s">
        <v>232</v>
      </c>
      <c r="B18" s="25">
        <v>1153.6723593912636</v>
      </c>
      <c r="C18" s="25">
        <v>1326.7232132999532</v>
      </c>
      <c r="D18" s="25">
        <v>1260.3870526349554</v>
      </c>
      <c r="E18" s="25">
        <v>1499.8605926355967</v>
      </c>
    </row>
    <row r="19" spans="1:5" ht="15.5" x14ac:dyDescent="0.35">
      <c r="A19" s="24" t="s">
        <v>233</v>
      </c>
      <c r="B19" s="25">
        <v>1038.3051234521372</v>
      </c>
      <c r="C19" s="25">
        <v>1194.0508919699578</v>
      </c>
      <c r="D19" s="25">
        <v>1134.3483473714598</v>
      </c>
      <c r="E19" s="25">
        <v>1349.8745333720371</v>
      </c>
    </row>
    <row r="20" spans="1:5" ht="15.5" x14ac:dyDescent="0.35">
      <c r="A20" s="24" t="s">
        <v>234</v>
      </c>
      <c r="B20" s="25">
        <v>1349.7966604877784</v>
      </c>
      <c r="C20" s="25">
        <v>1552.266159560945</v>
      </c>
      <c r="D20" s="25">
        <v>1474.6528515828977</v>
      </c>
      <c r="E20" s="25">
        <v>1754.8368933836482</v>
      </c>
    </row>
    <row r="21" spans="1:5" ht="15.5" x14ac:dyDescent="0.35">
      <c r="A21" s="24" t="s">
        <v>235</v>
      </c>
      <c r="B21" s="25">
        <v>1754.7356586341118</v>
      </c>
      <c r="C21" s="25">
        <v>2017.9460074292285</v>
      </c>
      <c r="D21" s="25">
        <v>1917.0487070577669</v>
      </c>
      <c r="E21" s="25">
        <v>2281.2879613987425</v>
      </c>
    </row>
    <row r="22" spans="1:5" ht="15.5" x14ac:dyDescent="0.35">
      <c r="A22" s="24" t="s">
        <v>236</v>
      </c>
      <c r="B22" s="25">
        <v>2281.1563562243459</v>
      </c>
      <c r="C22" s="25">
        <v>2623.3298096579974</v>
      </c>
      <c r="D22" s="25">
        <v>2492.1633191750975</v>
      </c>
      <c r="E22" s="25">
        <v>2965.674349818366</v>
      </c>
    </row>
    <row r="23" spans="1:5" ht="15.5" x14ac:dyDescent="0.35">
      <c r="A23" s="24" t="s">
        <v>237</v>
      </c>
      <c r="B23" s="25">
        <v>1330</v>
      </c>
      <c r="C23" s="25">
        <v>1529.4999999999998</v>
      </c>
      <c r="D23" s="25">
        <v>1453.0249999999996</v>
      </c>
      <c r="E23" s="25">
        <v>1729.0997499999994</v>
      </c>
    </row>
    <row r="24" spans="1:5" ht="15.5" x14ac:dyDescent="0.35">
      <c r="A24" s="24" t="s">
        <v>238</v>
      </c>
      <c r="B24" s="25">
        <v>1468.2</v>
      </c>
      <c r="C24" s="25">
        <v>1688.4299999999998</v>
      </c>
      <c r="D24" s="25">
        <v>1604.0084999999997</v>
      </c>
      <c r="E24" s="25">
        <v>1908.7701149999996</v>
      </c>
    </row>
  </sheetData>
  <mergeCells count="1">
    <mergeCell ref="A1:E1"/>
  </mergeCells>
  <dataValidations count="2">
    <dataValidation type="list" allowBlank="1" showInputMessage="1" showErrorMessage="1" sqref="G2" xr:uid="{CA8B9308-512C-4705-8DEF-87A2B5F6FE16}">
      <formula1>$A$3:$A$24</formula1>
    </dataValidation>
    <dataValidation type="list" allowBlank="1" showInputMessage="1" showErrorMessage="1" sqref="H2" xr:uid="{53D9E9D4-80DD-43F6-8DE5-CD3E24950D53}">
      <formula1>$B$2:$E$2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E6CC-9114-40E9-B98A-23B2A356EF29}">
  <dimension ref="A1:W9"/>
  <sheetViews>
    <sheetView workbookViewId="0">
      <selection activeCell="C9" sqref="C9"/>
    </sheetView>
  </sheetViews>
  <sheetFormatPr defaultRowHeight="14.5" x14ac:dyDescent="0.35"/>
  <cols>
    <col min="1" max="2" width="12.453125" bestFit="1" customWidth="1"/>
    <col min="3" max="3" width="12.1796875" bestFit="1" customWidth="1"/>
    <col min="4" max="4" width="10.1796875" bestFit="1" customWidth="1"/>
    <col min="5" max="5" width="15.453125" bestFit="1" customWidth="1"/>
    <col min="6" max="6" width="9.453125" bestFit="1" customWidth="1"/>
    <col min="7" max="7" width="12.1796875" bestFit="1" customWidth="1"/>
    <col min="8" max="8" width="12.26953125" bestFit="1" customWidth="1"/>
    <col min="9" max="9" width="14.453125" bestFit="1" customWidth="1"/>
    <col min="10" max="10" width="10.81640625" bestFit="1" customWidth="1"/>
    <col min="11" max="11" width="13.453125" bestFit="1" customWidth="1"/>
    <col min="12" max="12" width="10.81640625" bestFit="1" customWidth="1"/>
    <col min="13" max="13" width="11" bestFit="1" customWidth="1"/>
    <col min="14" max="14" width="13.54296875" bestFit="1" customWidth="1"/>
    <col min="15" max="15" width="12.1796875" bestFit="1" customWidth="1"/>
    <col min="16" max="16" width="11.81640625" bestFit="1" customWidth="1"/>
    <col min="17" max="17" width="13.453125" bestFit="1" customWidth="1"/>
    <col min="18" max="18" width="12.54296875" bestFit="1" customWidth="1"/>
    <col min="19" max="19" width="9.453125" bestFit="1" customWidth="1"/>
    <col min="20" max="20" width="12.453125" bestFit="1" customWidth="1"/>
    <col min="21" max="21" width="14.26953125" bestFit="1" customWidth="1"/>
    <col min="22" max="22" width="14.54296875" bestFit="1" customWidth="1"/>
    <col min="23" max="23" width="9.453125" bestFit="1" customWidth="1"/>
  </cols>
  <sheetData>
    <row r="1" spans="1:23" ht="15.5" x14ac:dyDescent="0.35">
      <c r="A1" s="26" t="s">
        <v>211</v>
      </c>
      <c r="B1" s="27" t="s">
        <v>217</v>
      </c>
      <c r="C1" s="27" t="s">
        <v>218</v>
      </c>
      <c r="D1" s="27" t="s">
        <v>219</v>
      </c>
      <c r="E1" s="27" t="s">
        <v>220</v>
      </c>
      <c r="F1" s="27" t="s">
        <v>221</v>
      </c>
      <c r="G1" s="27" t="s">
        <v>222</v>
      </c>
      <c r="H1" s="27" t="s">
        <v>223</v>
      </c>
      <c r="I1" s="27" t="s">
        <v>224</v>
      </c>
      <c r="J1" s="27" t="s">
        <v>225</v>
      </c>
      <c r="K1" s="27" t="s">
        <v>226</v>
      </c>
      <c r="L1" s="27" t="s">
        <v>227</v>
      </c>
      <c r="M1" s="27" t="s">
        <v>228</v>
      </c>
      <c r="N1" s="27" t="s">
        <v>229</v>
      </c>
      <c r="O1" s="27" t="s">
        <v>230</v>
      </c>
      <c r="P1" s="27" t="s">
        <v>231</v>
      </c>
      <c r="Q1" s="27" t="s">
        <v>232</v>
      </c>
      <c r="R1" s="27" t="s">
        <v>233</v>
      </c>
      <c r="S1" s="27" t="s">
        <v>234</v>
      </c>
      <c r="T1" s="27" t="s">
        <v>235</v>
      </c>
      <c r="U1" s="27" t="s">
        <v>236</v>
      </c>
      <c r="V1" s="27" t="s">
        <v>237</v>
      </c>
      <c r="W1" s="27" t="s">
        <v>238</v>
      </c>
    </row>
    <row r="2" spans="1:23" ht="15.5" x14ac:dyDescent="0.35">
      <c r="A2" s="26" t="s">
        <v>212</v>
      </c>
      <c r="B2" s="28">
        <v>124300</v>
      </c>
      <c r="C2" s="28">
        <v>149160</v>
      </c>
      <c r="D2" s="28">
        <v>152143.20000000001</v>
      </c>
      <c r="E2" s="28">
        <v>121714.56000000001</v>
      </c>
      <c r="F2" s="28">
        <v>109543.10400000001</v>
      </c>
      <c r="G2" s="28">
        <v>120497.41440000002</v>
      </c>
      <c r="H2" s="28">
        <v>122907.36268800002</v>
      </c>
      <c r="I2" s="28">
        <v>98325.890150400024</v>
      </c>
      <c r="J2" s="28">
        <v>88493.30113536003</v>
      </c>
      <c r="K2" s="28">
        <v>97342.631248896039</v>
      </c>
      <c r="L2" s="28">
        <v>99289.483873873964</v>
      </c>
      <c r="M2" s="28">
        <v>79431.587099099183</v>
      </c>
      <c r="N2" s="28">
        <v>71488.42838918927</v>
      </c>
      <c r="O2" s="28">
        <v>78637.271228108206</v>
      </c>
      <c r="P2" s="28">
        <v>80210.016652670369</v>
      </c>
      <c r="Q2" s="28">
        <v>64168.013322136299</v>
      </c>
      <c r="R2" s="28">
        <v>57751.211989922667</v>
      </c>
      <c r="S2" s="28">
        <v>63526.333188914941</v>
      </c>
      <c r="T2" s="28">
        <v>64796.85985269324</v>
      </c>
      <c r="U2" s="28">
        <v>51837.487882154594</v>
      </c>
      <c r="V2" s="28">
        <v>46653.739093939133</v>
      </c>
      <c r="W2" s="28">
        <v>51319.113003333048</v>
      </c>
    </row>
    <row r="3" spans="1:23" ht="15.5" x14ac:dyDescent="0.35">
      <c r="A3" s="26" t="s">
        <v>213</v>
      </c>
      <c r="B3" s="29">
        <v>44754</v>
      </c>
      <c r="C3" s="29">
        <v>44751</v>
      </c>
      <c r="D3" s="29">
        <v>44753</v>
      </c>
      <c r="E3" s="29">
        <v>44748</v>
      </c>
      <c r="F3" s="29">
        <v>44752</v>
      </c>
      <c r="G3" s="29">
        <v>44755</v>
      </c>
      <c r="H3" s="29">
        <v>44757</v>
      </c>
      <c r="I3" s="29">
        <v>44754</v>
      </c>
      <c r="J3" s="29">
        <v>44756</v>
      </c>
      <c r="K3" s="29">
        <v>44751</v>
      </c>
      <c r="L3" s="29">
        <v>44755</v>
      </c>
      <c r="M3" s="29">
        <v>44758</v>
      </c>
      <c r="N3" s="29">
        <v>44760</v>
      </c>
      <c r="O3" s="29">
        <v>44757</v>
      </c>
      <c r="P3" s="29">
        <v>44759</v>
      </c>
      <c r="Q3" s="29">
        <v>44754</v>
      </c>
      <c r="R3" s="29">
        <v>44758</v>
      </c>
      <c r="S3" s="29">
        <v>44761</v>
      </c>
      <c r="T3" s="29">
        <v>44763</v>
      </c>
      <c r="U3" s="29">
        <v>44760</v>
      </c>
      <c r="V3" s="29">
        <v>44762</v>
      </c>
      <c r="W3" s="29">
        <v>44757</v>
      </c>
    </row>
    <row r="4" spans="1:23" ht="15.5" x14ac:dyDescent="0.35">
      <c r="A4" s="26" t="s">
        <v>214</v>
      </c>
      <c r="B4" s="30">
        <v>5436.33</v>
      </c>
      <c r="C4" s="30">
        <v>6197.4161999999997</v>
      </c>
      <c r="D4" s="30">
        <v>7065.0544679999994</v>
      </c>
      <c r="E4" s="30">
        <v>8054.1620935199981</v>
      </c>
      <c r="F4" s="30">
        <v>9181.7447866127968</v>
      </c>
      <c r="G4" s="30">
        <v>10467.189056738587</v>
      </c>
      <c r="H4" s="30">
        <v>2446.3485000000001</v>
      </c>
      <c r="I4" s="30">
        <v>2690.9833500000004</v>
      </c>
      <c r="J4" s="30">
        <v>2960.0816850000001</v>
      </c>
      <c r="K4" s="30">
        <v>3256.0898535000001</v>
      </c>
      <c r="L4" s="30">
        <v>3581.6988388500008</v>
      </c>
      <c r="M4" s="30">
        <v>3939.8687227350015</v>
      </c>
      <c r="N4" s="30">
        <v>4333.855595008502</v>
      </c>
      <c r="O4" s="30">
        <v>4767.2411545093528</v>
      </c>
      <c r="P4" s="30">
        <v>5243.9652699602884</v>
      </c>
      <c r="Q4" s="30">
        <v>5768.3617969563174</v>
      </c>
      <c r="R4" s="30">
        <v>5191.525617260686</v>
      </c>
      <c r="S4" s="30">
        <v>6748.9833024388909</v>
      </c>
      <c r="T4" s="30">
        <v>8773.6782931705584</v>
      </c>
      <c r="U4" s="30">
        <v>11405.781781121728</v>
      </c>
      <c r="V4" s="30">
        <v>6650</v>
      </c>
      <c r="W4" s="30">
        <v>7341</v>
      </c>
    </row>
    <row r="5" spans="1:23" ht="15.5" x14ac:dyDescent="0.35">
      <c r="A5" s="26" t="s">
        <v>215</v>
      </c>
      <c r="B5" s="30">
        <v>1087.2660000000001</v>
      </c>
      <c r="C5" s="30">
        <v>1239.48324</v>
      </c>
      <c r="D5" s="30">
        <v>1413.0108935999999</v>
      </c>
      <c r="E5" s="30">
        <v>1610.8324187039998</v>
      </c>
      <c r="F5" s="30">
        <v>1836.3489573225595</v>
      </c>
      <c r="G5" s="30">
        <v>2093.4378113477173</v>
      </c>
      <c r="H5" s="30">
        <v>489.26970000000006</v>
      </c>
      <c r="I5" s="30">
        <v>538.19667000000015</v>
      </c>
      <c r="J5" s="30">
        <v>592.01633700000002</v>
      </c>
      <c r="K5" s="30">
        <v>651.21797070000002</v>
      </c>
      <c r="L5" s="30">
        <v>716.33976777000021</v>
      </c>
      <c r="M5" s="30">
        <v>787.97374454700036</v>
      </c>
      <c r="N5" s="30">
        <v>866.77111900170041</v>
      </c>
      <c r="O5" s="30">
        <v>953.4482309018706</v>
      </c>
      <c r="P5" s="30">
        <v>1048.7930539920578</v>
      </c>
      <c r="Q5" s="30">
        <v>1153.6723593912636</v>
      </c>
      <c r="R5" s="30">
        <v>1038.3051234521372</v>
      </c>
      <c r="S5" s="30">
        <v>1349.7966604877784</v>
      </c>
      <c r="T5" s="30">
        <v>1754.7356586341118</v>
      </c>
      <c r="U5" s="30">
        <v>2281.1563562243459</v>
      </c>
      <c r="V5" s="30">
        <v>1330</v>
      </c>
      <c r="W5" s="30">
        <v>1468.2</v>
      </c>
    </row>
    <row r="8" spans="1:23" ht="15.5" x14ac:dyDescent="0.35">
      <c r="B8" s="26" t="s">
        <v>211</v>
      </c>
      <c r="C8" s="26" t="s">
        <v>215</v>
      </c>
    </row>
    <row r="9" spans="1:23" x14ac:dyDescent="0.35">
      <c r="B9" s="27" t="s">
        <v>217</v>
      </c>
      <c r="C9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DC0F-6FDA-4359-B696-80D3E65C4DD9}">
  <dimension ref="A1:K106"/>
  <sheetViews>
    <sheetView topLeftCell="C3" workbookViewId="0">
      <selection activeCell="H8" sqref="H8"/>
    </sheetView>
  </sheetViews>
  <sheetFormatPr defaultRowHeight="14.5" x14ac:dyDescent="0.35"/>
  <cols>
    <col min="1" max="1" width="8.81640625" bestFit="1" customWidth="1"/>
    <col min="2" max="2" width="13.1796875" bestFit="1" customWidth="1"/>
    <col min="3" max="3" width="11.81640625" bestFit="1" customWidth="1"/>
    <col min="4" max="4" width="83.54296875" bestFit="1" customWidth="1"/>
    <col min="8" max="9" width="13.1796875" bestFit="1" customWidth="1"/>
    <col min="10" max="10" width="11.81640625" bestFit="1" customWidth="1"/>
    <col min="11" max="11" width="67.54296875" bestFit="1" customWidth="1"/>
    <col min="21" max="21" width="20" bestFit="1" customWidth="1"/>
  </cols>
  <sheetData>
    <row r="1" spans="1:11" x14ac:dyDescent="0.35">
      <c r="A1" s="32" t="s">
        <v>243</v>
      </c>
      <c r="B1" s="32" t="s">
        <v>244</v>
      </c>
      <c r="C1" s="32" t="s">
        <v>245</v>
      </c>
      <c r="D1" s="32" t="s">
        <v>162</v>
      </c>
    </row>
    <row r="2" spans="1:11" x14ac:dyDescent="0.35">
      <c r="A2" s="9">
        <v>10002275</v>
      </c>
      <c r="B2" s="9" t="s">
        <v>246</v>
      </c>
      <c r="C2" s="9" t="s">
        <v>247</v>
      </c>
      <c r="D2" s="9" t="s">
        <v>248</v>
      </c>
      <c r="H2" s="31" t="s">
        <v>249</v>
      </c>
    </row>
    <row r="3" spans="1:11" x14ac:dyDescent="0.35">
      <c r="A3" s="9">
        <v>10003910</v>
      </c>
      <c r="B3" s="9" t="s">
        <v>250</v>
      </c>
      <c r="C3" s="9" t="s">
        <v>251</v>
      </c>
      <c r="D3" s="9" t="s">
        <v>252</v>
      </c>
      <c r="H3" t="s">
        <v>246</v>
      </c>
      <c r="J3" s="9"/>
    </row>
    <row r="4" spans="1:11" x14ac:dyDescent="0.35">
      <c r="A4" s="9">
        <v>10002892</v>
      </c>
      <c r="B4" s="9" t="s">
        <v>250</v>
      </c>
      <c r="C4" s="9" t="s">
        <v>254</v>
      </c>
      <c r="D4" s="9" t="s">
        <v>255</v>
      </c>
    </row>
    <row r="5" spans="1:11" x14ac:dyDescent="0.35">
      <c r="A5" s="9">
        <v>10001539</v>
      </c>
      <c r="B5" s="9" t="s">
        <v>253</v>
      </c>
      <c r="C5" s="9" t="s">
        <v>256</v>
      </c>
      <c r="D5" s="9" t="s">
        <v>257</v>
      </c>
      <c r="H5" s="31" t="s">
        <v>258</v>
      </c>
    </row>
    <row r="6" spans="1:11" x14ac:dyDescent="0.35">
      <c r="A6" s="9">
        <v>10002033</v>
      </c>
      <c r="B6" s="9" t="s">
        <v>246</v>
      </c>
      <c r="C6" s="9" t="s">
        <v>247</v>
      </c>
      <c r="D6" s="9" t="s">
        <v>259</v>
      </c>
    </row>
    <row r="7" spans="1:11" x14ac:dyDescent="0.35">
      <c r="A7" s="9">
        <v>10002365</v>
      </c>
      <c r="B7" s="9" t="s">
        <v>250</v>
      </c>
      <c r="C7" s="9" t="s">
        <v>260</v>
      </c>
      <c r="D7" s="9" t="s">
        <v>261</v>
      </c>
      <c r="H7" s="32" t="s">
        <v>243</v>
      </c>
      <c r="I7" s="32" t="s">
        <v>244</v>
      </c>
      <c r="J7" s="32" t="s">
        <v>245</v>
      </c>
      <c r="K7" s="32" t="s">
        <v>162</v>
      </c>
    </row>
    <row r="8" spans="1:11" x14ac:dyDescent="0.35">
      <c r="A8" s="9">
        <v>10003656</v>
      </c>
      <c r="B8" s="9" t="s">
        <v>250</v>
      </c>
      <c r="C8" s="9" t="s">
        <v>251</v>
      </c>
      <c r="D8" s="9" t="s">
        <v>262</v>
      </c>
      <c r="H8" s="45"/>
      <c r="I8" s="45"/>
      <c r="J8" s="45"/>
      <c r="K8" s="45"/>
    </row>
    <row r="9" spans="1:11" x14ac:dyDescent="0.35">
      <c r="A9" s="9">
        <v>10002311</v>
      </c>
      <c r="B9" s="9" t="s">
        <v>250</v>
      </c>
      <c r="C9" s="9" t="s">
        <v>254</v>
      </c>
      <c r="D9" s="9" t="s">
        <v>263</v>
      </c>
      <c r="H9" s="45"/>
      <c r="I9" s="45"/>
      <c r="J9" s="45"/>
      <c r="K9" s="45"/>
    </row>
    <row r="10" spans="1:11" x14ac:dyDescent="0.35">
      <c r="A10" s="9">
        <v>10000756</v>
      </c>
      <c r="B10" s="9" t="s">
        <v>250</v>
      </c>
      <c r="C10" s="9" t="s">
        <v>251</v>
      </c>
      <c r="D10" s="9" t="s">
        <v>264</v>
      </c>
      <c r="H10" s="45"/>
      <c r="I10" s="45"/>
      <c r="J10" s="45"/>
      <c r="K10" s="45"/>
    </row>
    <row r="11" spans="1:11" x14ac:dyDescent="0.35">
      <c r="A11" s="9">
        <v>10004186</v>
      </c>
      <c r="B11" s="9" t="s">
        <v>250</v>
      </c>
      <c r="C11" s="9" t="s">
        <v>265</v>
      </c>
      <c r="D11" s="9" t="s">
        <v>266</v>
      </c>
      <c r="H11" s="45"/>
      <c r="I11" s="45"/>
      <c r="J11" s="45"/>
      <c r="K11" s="45"/>
    </row>
    <row r="12" spans="1:11" x14ac:dyDescent="0.35">
      <c r="A12" s="9">
        <v>10000107</v>
      </c>
      <c r="B12" s="9" t="s">
        <v>250</v>
      </c>
      <c r="C12" s="9" t="s">
        <v>265</v>
      </c>
      <c r="D12" s="9" t="s">
        <v>267</v>
      </c>
      <c r="H12" s="45"/>
      <c r="I12" s="45"/>
      <c r="J12" s="45"/>
      <c r="K12" s="45"/>
    </row>
    <row r="13" spans="1:11" x14ac:dyDescent="0.35">
      <c r="A13" s="9">
        <v>10003056</v>
      </c>
      <c r="B13" s="9" t="s">
        <v>250</v>
      </c>
      <c r="C13" s="9" t="s">
        <v>268</v>
      </c>
      <c r="D13" s="9" t="s">
        <v>269</v>
      </c>
      <c r="H13" s="45"/>
      <c r="I13" s="45"/>
      <c r="J13" s="45"/>
      <c r="K13" s="45"/>
    </row>
    <row r="14" spans="1:11" x14ac:dyDescent="0.35">
      <c r="A14" s="9">
        <v>10001949</v>
      </c>
      <c r="B14" s="9" t="s">
        <v>246</v>
      </c>
      <c r="C14" s="9" t="s">
        <v>247</v>
      </c>
      <c r="D14" s="9" t="s">
        <v>270</v>
      </c>
      <c r="H14" s="45"/>
      <c r="I14" s="45"/>
      <c r="J14" s="45"/>
      <c r="K14" s="45"/>
    </row>
    <row r="15" spans="1:11" x14ac:dyDescent="0.35">
      <c r="A15" s="9">
        <v>10002215</v>
      </c>
      <c r="B15" s="9" t="s">
        <v>250</v>
      </c>
      <c r="C15" s="9" t="s">
        <v>251</v>
      </c>
      <c r="D15" s="9" t="s">
        <v>271</v>
      </c>
      <c r="H15" s="45"/>
      <c r="I15" s="45"/>
      <c r="J15" s="45"/>
      <c r="K15" s="45"/>
    </row>
    <row r="16" spans="1:11" x14ac:dyDescent="0.35">
      <c r="A16" s="9">
        <v>10000246</v>
      </c>
      <c r="B16" s="9" t="s">
        <v>250</v>
      </c>
      <c r="C16" s="9" t="s">
        <v>268</v>
      </c>
      <c r="D16" s="9" t="s">
        <v>272</v>
      </c>
      <c r="H16" s="45"/>
      <c r="I16" s="45"/>
      <c r="J16" s="45"/>
      <c r="K16" s="45"/>
    </row>
    <row r="17" spans="1:11" x14ac:dyDescent="0.35">
      <c r="A17" s="9">
        <v>10001492</v>
      </c>
      <c r="B17" s="9" t="s">
        <v>250</v>
      </c>
      <c r="C17" s="9" t="s">
        <v>254</v>
      </c>
      <c r="D17" s="9" t="s">
        <v>273</v>
      </c>
      <c r="H17" s="45"/>
      <c r="I17" s="45"/>
      <c r="J17" s="45"/>
      <c r="K17" s="45"/>
    </row>
    <row r="18" spans="1:11" x14ac:dyDescent="0.35">
      <c r="A18" s="9">
        <v>10002774</v>
      </c>
      <c r="B18" s="9" t="s">
        <v>253</v>
      </c>
      <c r="C18" s="9" t="s">
        <v>274</v>
      </c>
      <c r="D18" s="9" t="s">
        <v>275</v>
      </c>
      <c r="H18" s="45"/>
      <c r="I18" s="45"/>
      <c r="J18" s="45"/>
      <c r="K18" s="45"/>
    </row>
    <row r="19" spans="1:11" x14ac:dyDescent="0.35">
      <c r="A19" s="9">
        <v>10001634</v>
      </c>
      <c r="B19" s="9" t="s">
        <v>250</v>
      </c>
      <c r="C19" s="9" t="s">
        <v>251</v>
      </c>
      <c r="D19" s="9" t="s">
        <v>276</v>
      </c>
      <c r="H19" s="45"/>
      <c r="I19" s="45"/>
      <c r="J19" s="45"/>
      <c r="K19" s="45"/>
    </row>
    <row r="20" spans="1:11" x14ac:dyDescent="0.35">
      <c r="A20" s="9">
        <v>10003027</v>
      </c>
      <c r="B20" s="9" t="s">
        <v>246</v>
      </c>
      <c r="C20" s="9" t="s">
        <v>277</v>
      </c>
      <c r="D20" s="9" t="s">
        <v>278</v>
      </c>
      <c r="H20" s="45"/>
      <c r="I20" s="45"/>
      <c r="J20" s="45"/>
      <c r="K20" s="45"/>
    </row>
    <row r="21" spans="1:11" x14ac:dyDescent="0.35">
      <c r="A21" s="9">
        <v>10004834</v>
      </c>
      <c r="B21" s="9" t="s">
        <v>253</v>
      </c>
      <c r="C21" s="9" t="s">
        <v>279</v>
      </c>
      <c r="D21" s="9" t="s">
        <v>280</v>
      </c>
      <c r="H21" s="45"/>
      <c r="I21" s="45"/>
      <c r="J21" s="45"/>
      <c r="K21" s="45"/>
    </row>
    <row r="22" spans="1:11" x14ac:dyDescent="0.35">
      <c r="A22" s="9">
        <v>10000474</v>
      </c>
      <c r="B22" s="9" t="s">
        <v>250</v>
      </c>
      <c r="C22" s="9" t="s">
        <v>251</v>
      </c>
      <c r="D22" s="9" t="s">
        <v>281</v>
      </c>
      <c r="H22" s="45"/>
      <c r="I22" s="45"/>
      <c r="J22" s="45"/>
      <c r="K22" s="45"/>
    </row>
    <row r="23" spans="1:11" x14ac:dyDescent="0.35">
      <c r="A23" s="9">
        <v>10004848</v>
      </c>
      <c r="B23" s="9" t="s">
        <v>253</v>
      </c>
      <c r="C23" s="9" t="s">
        <v>282</v>
      </c>
      <c r="D23" s="9" t="s">
        <v>283</v>
      </c>
      <c r="H23" s="45"/>
      <c r="I23" s="45"/>
      <c r="J23" s="45"/>
      <c r="K23" s="45"/>
    </row>
    <row r="24" spans="1:11" x14ac:dyDescent="0.35">
      <c r="A24" s="9">
        <v>10001509</v>
      </c>
      <c r="B24" s="9" t="s">
        <v>250</v>
      </c>
      <c r="C24" s="9" t="s">
        <v>284</v>
      </c>
      <c r="D24" s="9" t="s">
        <v>285</v>
      </c>
      <c r="H24" s="45"/>
      <c r="I24" s="45"/>
      <c r="J24" s="45"/>
      <c r="K24" s="45"/>
    </row>
    <row r="25" spans="1:11" x14ac:dyDescent="0.35">
      <c r="A25" s="9">
        <v>10004042</v>
      </c>
      <c r="B25" s="9" t="s">
        <v>250</v>
      </c>
      <c r="C25" s="9" t="s">
        <v>268</v>
      </c>
      <c r="D25" s="9" t="s">
        <v>286</v>
      </c>
      <c r="H25" s="45"/>
      <c r="I25" s="45"/>
      <c r="J25" s="45"/>
      <c r="K25" s="45"/>
    </row>
    <row r="26" spans="1:11" x14ac:dyDescent="0.35">
      <c r="A26" s="9">
        <v>10001525</v>
      </c>
      <c r="B26" s="9" t="s">
        <v>250</v>
      </c>
      <c r="C26" s="9" t="s">
        <v>251</v>
      </c>
      <c r="D26" s="9" t="s">
        <v>287</v>
      </c>
      <c r="H26" s="45"/>
      <c r="I26" s="45"/>
      <c r="J26" s="45"/>
      <c r="K26" s="45"/>
    </row>
    <row r="27" spans="1:11" x14ac:dyDescent="0.35">
      <c r="A27" s="9">
        <v>10001683</v>
      </c>
      <c r="B27" s="9" t="s">
        <v>250</v>
      </c>
      <c r="C27" s="9" t="s">
        <v>268</v>
      </c>
      <c r="D27" s="9" t="s">
        <v>288</v>
      </c>
      <c r="H27" s="45"/>
      <c r="I27" s="45"/>
      <c r="J27" s="45"/>
      <c r="K27" s="45"/>
    </row>
    <row r="28" spans="1:11" x14ac:dyDescent="0.35">
      <c r="A28" s="9">
        <v>10000249</v>
      </c>
      <c r="B28" s="9" t="s">
        <v>250</v>
      </c>
      <c r="C28" s="9" t="s">
        <v>260</v>
      </c>
      <c r="D28" s="9" t="s">
        <v>289</v>
      </c>
      <c r="H28" s="45"/>
      <c r="I28" s="45"/>
      <c r="J28" s="45"/>
      <c r="K28" s="45"/>
    </row>
    <row r="29" spans="1:11" x14ac:dyDescent="0.35">
      <c r="A29" s="9">
        <v>10004977</v>
      </c>
      <c r="B29" s="9" t="s">
        <v>246</v>
      </c>
      <c r="C29" s="9" t="s">
        <v>247</v>
      </c>
      <c r="D29" s="9" t="s">
        <v>290</v>
      </c>
      <c r="H29" s="45"/>
      <c r="I29" s="45"/>
      <c r="J29" s="45"/>
      <c r="K29" s="45"/>
    </row>
    <row r="30" spans="1:11" x14ac:dyDescent="0.35">
      <c r="A30" s="9">
        <v>10003664</v>
      </c>
      <c r="B30" s="9" t="s">
        <v>253</v>
      </c>
      <c r="C30" s="9" t="s">
        <v>282</v>
      </c>
      <c r="D30" s="9" t="s">
        <v>291</v>
      </c>
      <c r="H30" s="45"/>
      <c r="I30" s="45"/>
      <c r="J30" s="45"/>
      <c r="K30" s="45"/>
    </row>
    <row r="31" spans="1:11" x14ac:dyDescent="0.35">
      <c r="A31" s="9">
        <v>10002986</v>
      </c>
      <c r="B31" s="9" t="s">
        <v>250</v>
      </c>
      <c r="C31" s="9" t="s">
        <v>284</v>
      </c>
      <c r="D31" s="9" t="s">
        <v>292</v>
      </c>
      <c r="H31" s="45"/>
      <c r="I31" s="45"/>
      <c r="J31" s="45"/>
      <c r="K31" s="45"/>
    </row>
    <row r="32" spans="1:11" x14ac:dyDescent="0.35">
      <c r="A32" s="9">
        <v>10004218</v>
      </c>
      <c r="B32" s="9" t="s">
        <v>253</v>
      </c>
      <c r="C32" s="9" t="s">
        <v>274</v>
      </c>
      <c r="D32" s="9" t="s">
        <v>293</v>
      </c>
      <c r="H32" s="45"/>
      <c r="I32" s="45"/>
      <c r="J32" s="45"/>
      <c r="K32" s="45"/>
    </row>
    <row r="33" spans="1:11" x14ac:dyDescent="0.35">
      <c r="A33" s="9">
        <v>10000486</v>
      </c>
      <c r="B33" s="9" t="s">
        <v>246</v>
      </c>
      <c r="C33" s="9" t="s">
        <v>247</v>
      </c>
      <c r="D33" s="9" t="s">
        <v>294</v>
      </c>
      <c r="H33" s="45"/>
      <c r="I33" s="45"/>
      <c r="J33" s="45"/>
      <c r="K33" s="45"/>
    </row>
    <row r="34" spans="1:11" x14ac:dyDescent="0.35">
      <c r="A34" s="9">
        <v>10004093</v>
      </c>
      <c r="B34" s="9" t="s">
        <v>246</v>
      </c>
      <c r="C34" s="9" t="s">
        <v>247</v>
      </c>
      <c r="D34" s="9" t="s">
        <v>295</v>
      </c>
      <c r="H34" s="45"/>
      <c r="I34" s="45"/>
      <c r="J34" s="45"/>
      <c r="K34" s="45"/>
    </row>
    <row r="35" spans="1:11" x14ac:dyDescent="0.35">
      <c r="A35" s="9">
        <v>10003479</v>
      </c>
      <c r="B35" s="9" t="s">
        <v>250</v>
      </c>
      <c r="C35" s="9" t="s">
        <v>265</v>
      </c>
      <c r="D35" s="9" t="s">
        <v>296</v>
      </c>
      <c r="H35" s="45"/>
      <c r="I35" s="45"/>
      <c r="J35" s="45"/>
      <c r="K35" s="45"/>
    </row>
    <row r="36" spans="1:11" x14ac:dyDescent="0.35">
      <c r="A36" s="9">
        <v>10003282</v>
      </c>
      <c r="B36" s="9" t="s">
        <v>250</v>
      </c>
      <c r="C36" s="9" t="s">
        <v>265</v>
      </c>
      <c r="D36" s="9" t="s">
        <v>297</v>
      </c>
      <c r="H36" s="45"/>
      <c r="I36" s="45"/>
      <c r="J36" s="45"/>
      <c r="K36" s="45"/>
    </row>
    <row r="37" spans="1:11" x14ac:dyDescent="0.35">
      <c r="A37" s="9">
        <v>10000171</v>
      </c>
      <c r="B37" s="9" t="s">
        <v>246</v>
      </c>
      <c r="C37" s="9" t="s">
        <v>277</v>
      </c>
      <c r="D37" s="9" t="s">
        <v>298</v>
      </c>
      <c r="H37" s="45"/>
      <c r="I37" s="45"/>
      <c r="J37" s="45"/>
      <c r="K37" s="45"/>
    </row>
    <row r="38" spans="1:11" x14ac:dyDescent="0.35">
      <c r="A38" s="9">
        <v>10003291</v>
      </c>
      <c r="B38" s="9" t="s">
        <v>250</v>
      </c>
      <c r="C38" s="9" t="s">
        <v>251</v>
      </c>
      <c r="D38" s="9" t="s">
        <v>299</v>
      </c>
      <c r="H38" s="45"/>
      <c r="I38" s="45"/>
      <c r="J38" s="45"/>
      <c r="K38" s="45"/>
    </row>
    <row r="39" spans="1:11" x14ac:dyDescent="0.35">
      <c r="A39" s="9">
        <v>10001713</v>
      </c>
      <c r="B39" s="9" t="s">
        <v>250</v>
      </c>
      <c r="C39" s="9" t="s">
        <v>265</v>
      </c>
      <c r="D39" s="9" t="s">
        <v>300</v>
      </c>
      <c r="H39" s="45"/>
      <c r="I39" s="45"/>
      <c r="J39" s="45"/>
      <c r="K39" s="45"/>
    </row>
    <row r="40" spans="1:11" x14ac:dyDescent="0.35">
      <c r="A40" s="9">
        <v>10002167</v>
      </c>
      <c r="B40" s="9" t="s">
        <v>246</v>
      </c>
      <c r="C40" s="9" t="s">
        <v>277</v>
      </c>
      <c r="D40" s="9" t="s">
        <v>301</v>
      </c>
      <c r="H40" s="45"/>
      <c r="I40" s="45"/>
      <c r="J40" s="45"/>
      <c r="K40" s="45"/>
    </row>
    <row r="41" spans="1:11" x14ac:dyDescent="0.35">
      <c r="A41" s="9">
        <v>10003988</v>
      </c>
      <c r="B41" s="9" t="s">
        <v>246</v>
      </c>
      <c r="C41" s="9" t="s">
        <v>247</v>
      </c>
      <c r="D41" s="9" t="s">
        <v>302</v>
      </c>
      <c r="H41" s="45"/>
      <c r="I41" s="45"/>
      <c r="J41" s="45"/>
      <c r="K41" s="45"/>
    </row>
    <row r="42" spans="1:11" x14ac:dyDescent="0.35">
      <c r="A42" s="9">
        <v>10004410</v>
      </c>
      <c r="B42" s="9" t="s">
        <v>250</v>
      </c>
      <c r="C42" s="9" t="s">
        <v>251</v>
      </c>
      <c r="D42" s="9" t="s">
        <v>303</v>
      </c>
      <c r="H42" s="45"/>
      <c r="I42" s="45"/>
      <c r="J42" s="45"/>
      <c r="K42" s="45"/>
    </row>
    <row r="43" spans="1:11" x14ac:dyDescent="0.35">
      <c r="A43" s="9">
        <v>10002762</v>
      </c>
      <c r="B43" s="9" t="s">
        <v>250</v>
      </c>
      <c r="C43" s="9" t="s">
        <v>304</v>
      </c>
      <c r="D43" s="9" t="s">
        <v>305</v>
      </c>
      <c r="H43" s="45"/>
      <c r="I43" s="45"/>
      <c r="J43" s="45"/>
      <c r="K43" s="45"/>
    </row>
    <row r="44" spans="1:11" x14ac:dyDescent="0.35">
      <c r="A44" s="9">
        <v>10001706</v>
      </c>
      <c r="B44" s="9" t="s">
        <v>253</v>
      </c>
      <c r="C44" s="9" t="s">
        <v>282</v>
      </c>
      <c r="D44" s="9" t="s">
        <v>306</v>
      </c>
      <c r="H44" s="45"/>
      <c r="I44" s="45"/>
      <c r="J44" s="45"/>
      <c r="K44" s="45"/>
    </row>
    <row r="45" spans="1:11" x14ac:dyDescent="0.35">
      <c r="A45" s="9">
        <v>10003061</v>
      </c>
      <c r="B45" s="9" t="s">
        <v>253</v>
      </c>
      <c r="C45" s="9" t="s">
        <v>274</v>
      </c>
      <c r="D45" s="9" t="s">
        <v>307</v>
      </c>
      <c r="H45" s="45"/>
      <c r="I45" s="45"/>
      <c r="J45" s="45"/>
      <c r="K45" s="45"/>
    </row>
    <row r="46" spans="1:11" x14ac:dyDescent="0.35">
      <c r="A46" s="9">
        <v>10000304</v>
      </c>
      <c r="B46" s="9" t="s">
        <v>250</v>
      </c>
      <c r="C46" s="9" t="s">
        <v>308</v>
      </c>
      <c r="D46" s="9" t="s">
        <v>309</v>
      </c>
      <c r="H46" s="45"/>
      <c r="I46" s="45"/>
      <c r="J46" s="45"/>
      <c r="K46" s="45"/>
    </row>
    <row r="47" spans="1:11" x14ac:dyDescent="0.35">
      <c r="A47" s="9">
        <v>10002447</v>
      </c>
      <c r="B47" s="9" t="s">
        <v>246</v>
      </c>
      <c r="C47" s="9" t="s">
        <v>247</v>
      </c>
      <c r="D47" s="9" t="s">
        <v>310</v>
      </c>
      <c r="H47" s="45"/>
      <c r="I47" s="45"/>
      <c r="J47" s="45"/>
      <c r="K47" s="45"/>
    </row>
    <row r="48" spans="1:11" x14ac:dyDescent="0.35">
      <c r="A48" s="9">
        <v>10000604</v>
      </c>
      <c r="B48" s="9" t="s">
        <v>250</v>
      </c>
      <c r="C48" s="9" t="s">
        <v>265</v>
      </c>
      <c r="D48" s="9" t="s">
        <v>311</v>
      </c>
      <c r="H48" s="45"/>
      <c r="I48" s="45"/>
      <c r="J48" s="45"/>
      <c r="K48" s="45"/>
    </row>
    <row r="49" spans="1:11" x14ac:dyDescent="0.35">
      <c r="A49" s="9">
        <v>10001569</v>
      </c>
      <c r="B49" s="9" t="s">
        <v>250</v>
      </c>
      <c r="C49" s="9" t="s">
        <v>260</v>
      </c>
      <c r="D49" s="9" t="s">
        <v>312</v>
      </c>
      <c r="H49" s="45"/>
      <c r="I49" s="45"/>
      <c r="J49" s="45"/>
      <c r="K49" s="45"/>
    </row>
    <row r="50" spans="1:11" x14ac:dyDescent="0.35">
      <c r="A50" s="9">
        <v>10003968</v>
      </c>
      <c r="B50" s="9" t="s">
        <v>253</v>
      </c>
      <c r="C50" s="9" t="s">
        <v>274</v>
      </c>
      <c r="D50" s="9" t="s">
        <v>313</v>
      </c>
      <c r="H50" s="45"/>
      <c r="I50" s="45"/>
      <c r="J50" s="45"/>
      <c r="K50" s="45"/>
    </row>
    <row r="51" spans="1:11" x14ac:dyDescent="0.35">
      <c r="A51" s="9">
        <v>10000587</v>
      </c>
      <c r="B51" s="9" t="s">
        <v>250</v>
      </c>
      <c r="C51" s="9" t="s">
        <v>260</v>
      </c>
      <c r="D51" s="9" t="s">
        <v>314</v>
      </c>
      <c r="H51" s="45"/>
      <c r="I51" s="45"/>
      <c r="J51" s="45"/>
      <c r="K51" s="45"/>
    </row>
    <row r="52" spans="1:11" x14ac:dyDescent="0.35">
      <c r="A52" s="9">
        <v>10001460</v>
      </c>
      <c r="B52" s="9" t="s">
        <v>250</v>
      </c>
      <c r="C52" s="9" t="s">
        <v>251</v>
      </c>
      <c r="D52" s="9" t="s">
        <v>315</v>
      </c>
      <c r="H52" s="45"/>
      <c r="I52" s="45"/>
      <c r="J52" s="45"/>
      <c r="K52" s="45"/>
    </row>
    <row r="53" spans="1:11" x14ac:dyDescent="0.35">
      <c r="A53" s="9">
        <v>10001868</v>
      </c>
      <c r="B53" s="9" t="s">
        <v>250</v>
      </c>
      <c r="C53" s="9" t="s">
        <v>268</v>
      </c>
      <c r="D53" s="9" t="s">
        <v>316</v>
      </c>
      <c r="H53" s="45"/>
      <c r="I53" s="45"/>
      <c r="J53" s="45"/>
      <c r="K53" s="45"/>
    </row>
    <row r="54" spans="1:11" x14ac:dyDescent="0.35">
      <c r="A54" s="9">
        <v>10004633</v>
      </c>
      <c r="B54" s="9" t="s">
        <v>246</v>
      </c>
      <c r="C54" s="9" t="s">
        <v>277</v>
      </c>
      <c r="D54" s="9" t="s">
        <v>317</v>
      </c>
      <c r="H54" s="45"/>
      <c r="I54" s="45"/>
      <c r="J54" s="45"/>
      <c r="K54" s="45"/>
    </row>
    <row r="55" spans="1:11" x14ac:dyDescent="0.35">
      <c r="A55" s="9">
        <v>10001078</v>
      </c>
      <c r="B55" s="9" t="s">
        <v>250</v>
      </c>
      <c r="C55" s="9" t="s">
        <v>251</v>
      </c>
      <c r="D55" s="9" t="s">
        <v>318</v>
      </c>
      <c r="H55" s="45"/>
      <c r="I55" s="45"/>
      <c r="J55" s="45"/>
      <c r="K55" s="45"/>
    </row>
    <row r="56" spans="1:11" x14ac:dyDescent="0.35">
      <c r="A56" s="9">
        <v>10003892</v>
      </c>
      <c r="B56" s="9" t="s">
        <v>250</v>
      </c>
      <c r="C56" s="9" t="s">
        <v>260</v>
      </c>
      <c r="D56" s="9" t="s">
        <v>319</v>
      </c>
      <c r="H56" s="45"/>
      <c r="I56" s="45"/>
      <c r="J56" s="45"/>
      <c r="K56" s="45"/>
    </row>
    <row r="57" spans="1:11" x14ac:dyDescent="0.35">
      <c r="A57" s="9">
        <v>10000397</v>
      </c>
      <c r="B57" s="9" t="s">
        <v>253</v>
      </c>
      <c r="C57" s="9" t="s">
        <v>282</v>
      </c>
      <c r="D57" s="9" t="s">
        <v>320</v>
      </c>
      <c r="H57" s="45"/>
      <c r="I57" s="45"/>
      <c r="J57" s="45"/>
      <c r="K57" s="45"/>
    </row>
    <row r="58" spans="1:11" x14ac:dyDescent="0.35">
      <c r="A58" s="9">
        <v>10001146</v>
      </c>
      <c r="B58" s="9" t="s">
        <v>253</v>
      </c>
      <c r="C58" s="9" t="s">
        <v>274</v>
      </c>
      <c r="D58" s="9" t="s">
        <v>321</v>
      </c>
      <c r="H58" s="45"/>
      <c r="I58" s="45"/>
      <c r="J58" s="45"/>
      <c r="K58" s="45"/>
    </row>
    <row r="59" spans="1:11" x14ac:dyDescent="0.35">
      <c r="A59" s="9">
        <v>10002671</v>
      </c>
      <c r="B59" s="9" t="s">
        <v>250</v>
      </c>
      <c r="C59" s="9" t="s">
        <v>268</v>
      </c>
      <c r="D59" s="9" t="s">
        <v>322</v>
      </c>
      <c r="H59" s="45"/>
      <c r="I59" s="45"/>
      <c r="J59" s="45"/>
      <c r="K59" s="45"/>
    </row>
    <row r="60" spans="1:11" x14ac:dyDescent="0.35">
      <c r="A60" s="9">
        <v>10002726</v>
      </c>
      <c r="B60" s="9" t="s">
        <v>246</v>
      </c>
      <c r="C60" s="9" t="s">
        <v>247</v>
      </c>
      <c r="D60" s="9" t="s">
        <v>323</v>
      </c>
      <c r="H60" s="45"/>
      <c r="I60" s="45"/>
      <c r="J60" s="45"/>
      <c r="K60" s="45"/>
    </row>
    <row r="61" spans="1:11" x14ac:dyDescent="0.35">
      <c r="A61" s="9">
        <v>10000482</v>
      </c>
      <c r="B61" s="9" t="s">
        <v>250</v>
      </c>
      <c r="C61" s="9" t="s">
        <v>260</v>
      </c>
      <c r="D61" s="9" t="s">
        <v>324</v>
      </c>
      <c r="H61" s="45"/>
      <c r="I61" s="45"/>
      <c r="J61" s="45"/>
      <c r="K61" s="45"/>
    </row>
    <row r="62" spans="1:11" x14ac:dyDescent="0.35">
      <c r="A62" s="9">
        <v>10004654</v>
      </c>
      <c r="B62" s="9" t="s">
        <v>250</v>
      </c>
      <c r="C62" s="9" t="s">
        <v>251</v>
      </c>
      <c r="D62" s="9" t="s">
        <v>325</v>
      </c>
      <c r="H62" s="45"/>
      <c r="I62" s="45"/>
      <c r="J62" s="45"/>
      <c r="K62" s="45"/>
    </row>
    <row r="63" spans="1:11" x14ac:dyDescent="0.35">
      <c r="A63" s="9">
        <v>10004675</v>
      </c>
      <c r="B63" s="9" t="s">
        <v>250</v>
      </c>
      <c r="C63" s="9" t="s">
        <v>260</v>
      </c>
      <c r="D63" s="9" t="s">
        <v>326</v>
      </c>
      <c r="H63" s="45"/>
      <c r="I63" s="45"/>
      <c r="J63" s="45"/>
      <c r="K63" s="45"/>
    </row>
    <row r="64" spans="1:11" x14ac:dyDescent="0.35">
      <c r="A64" s="9">
        <v>10000513</v>
      </c>
      <c r="B64" s="9" t="s">
        <v>253</v>
      </c>
      <c r="C64" s="9" t="s">
        <v>274</v>
      </c>
      <c r="D64" s="9" t="s">
        <v>327</v>
      </c>
      <c r="H64" s="45"/>
      <c r="I64" s="45"/>
      <c r="J64" s="45"/>
      <c r="K64" s="45"/>
    </row>
    <row r="65" spans="1:11" x14ac:dyDescent="0.35">
      <c r="A65" s="9">
        <v>10003708</v>
      </c>
      <c r="B65" s="9" t="s">
        <v>253</v>
      </c>
      <c r="C65" s="9" t="s">
        <v>282</v>
      </c>
      <c r="D65" s="9" t="s">
        <v>328</v>
      </c>
      <c r="H65" s="45"/>
      <c r="I65" s="45"/>
      <c r="J65" s="45"/>
      <c r="K65" s="45"/>
    </row>
    <row r="66" spans="1:11" x14ac:dyDescent="0.35">
      <c r="A66" s="9">
        <v>10004123</v>
      </c>
      <c r="B66" s="9" t="s">
        <v>250</v>
      </c>
      <c r="C66" s="9" t="s">
        <v>265</v>
      </c>
      <c r="D66" s="9" t="s">
        <v>329</v>
      </c>
      <c r="H66" s="45"/>
      <c r="I66" s="45"/>
      <c r="J66" s="45"/>
      <c r="K66" s="45"/>
    </row>
    <row r="67" spans="1:11" x14ac:dyDescent="0.35">
      <c r="A67" s="9">
        <v>10004182</v>
      </c>
      <c r="B67" s="9" t="s">
        <v>250</v>
      </c>
      <c r="C67" s="9" t="s">
        <v>251</v>
      </c>
      <c r="D67" s="9" t="s">
        <v>330</v>
      </c>
      <c r="H67" s="45"/>
      <c r="I67" s="45"/>
      <c r="J67" s="45"/>
      <c r="K67" s="45"/>
    </row>
    <row r="68" spans="1:11" x14ac:dyDescent="0.35">
      <c r="A68" s="9">
        <v>10000260</v>
      </c>
      <c r="B68" s="9" t="s">
        <v>253</v>
      </c>
      <c r="C68" s="9" t="s">
        <v>282</v>
      </c>
      <c r="D68" s="9" t="s">
        <v>331</v>
      </c>
      <c r="H68" s="45"/>
      <c r="I68" s="45"/>
      <c r="J68" s="45"/>
      <c r="K68" s="45"/>
    </row>
    <row r="69" spans="1:11" x14ac:dyDescent="0.35">
      <c r="A69" s="9">
        <v>10000615</v>
      </c>
      <c r="B69" s="9" t="s">
        <v>250</v>
      </c>
      <c r="C69" s="9" t="s">
        <v>265</v>
      </c>
      <c r="D69" s="9" t="s">
        <v>332</v>
      </c>
      <c r="H69" s="45"/>
      <c r="I69" s="45"/>
      <c r="J69" s="45"/>
      <c r="K69" s="45"/>
    </row>
    <row r="70" spans="1:11" x14ac:dyDescent="0.35">
      <c r="A70" s="9">
        <v>10003194</v>
      </c>
      <c r="B70" s="9" t="s">
        <v>253</v>
      </c>
      <c r="C70" s="9" t="s">
        <v>282</v>
      </c>
      <c r="D70" s="9" t="s">
        <v>333</v>
      </c>
      <c r="H70" s="45"/>
      <c r="I70" s="45"/>
      <c r="J70" s="45"/>
      <c r="K70" s="45"/>
    </row>
    <row r="71" spans="1:11" x14ac:dyDescent="0.35">
      <c r="A71" s="9">
        <v>10002118</v>
      </c>
      <c r="B71" s="9" t="s">
        <v>250</v>
      </c>
      <c r="C71" s="9" t="s">
        <v>254</v>
      </c>
      <c r="D71" s="9" t="s">
        <v>334</v>
      </c>
      <c r="H71" s="45"/>
      <c r="I71" s="45"/>
      <c r="J71" s="45"/>
      <c r="K71" s="45"/>
    </row>
    <row r="72" spans="1:11" x14ac:dyDescent="0.35">
      <c r="A72" s="9">
        <v>10002309</v>
      </c>
      <c r="B72" s="9" t="s">
        <v>250</v>
      </c>
      <c r="C72" s="9" t="s">
        <v>251</v>
      </c>
      <c r="D72" s="9" t="s">
        <v>335</v>
      </c>
      <c r="H72" s="45"/>
      <c r="I72" s="45"/>
      <c r="J72" s="45"/>
      <c r="K72" s="45"/>
    </row>
    <row r="73" spans="1:11" x14ac:dyDescent="0.35">
      <c r="A73" s="9">
        <v>10002053</v>
      </c>
      <c r="B73" s="9" t="s">
        <v>250</v>
      </c>
      <c r="C73" s="9" t="s">
        <v>268</v>
      </c>
      <c r="D73" s="9" t="s">
        <v>336</v>
      </c>
    </row>
    <row r="74" spans="1:11" x14ac:dyDescent="0.35">
      <c r="A74" s="9">
        <v>10002370</v>
      </c>
      <c r="B74" s="9" t="s">
        <v>250</v>
      </c>
      <c r="C74" s="9" t="s">
        <v>265</v>
      </c>
      <c r="D74" s="9" t="s">
        <v>337</v>
      </c>
    </row>
    <row r="75" spans="1:11" x14ac:dyDescent="0.35">
      <c r="A75" s="9">
        <v>10000927</v>
      </c>
      <c r="B75" s="9" t="s">
        <v>250</v>
      </c>
      <c r="C75" s="9" t="s">
        <v>284</v>
      </c>
      <c r="D75" s="9" t="s">
        <v>338</v>
      </c>
    </row>
    <row r="76" spans="1:11" x14ac:dyDescent="0.35">
      <c r="A76" s="9">
        <v>10000863</v>
      </c>
      <c r="B76" s="9" t="s">
        <v>253</v>
      </c>
      <c r="C76" s="9" t="s">
        <v>274</v>
      </c>
      <c r="D76" s="9" t="s">
        <v>339</v>
      </c>
    </row>
    <row r="77" spans="1:11" x14ac:dyDescent="0.35">
      <c r="A77" s="9">
        <v>10001998</v>
      </c>
      <c r="B77" s="9" t="s">
        <v>246</v>
      </c>
      <c r="C77" s="9" t="s">
        <v>277</v>
      </c>
      <c r="D77" s="9" t="s">
        <v>340</v>
      </c>
    </row>
    <row r="78" spans="1:11" x14ac:dyDescent="0.35">
      <c r="A78" s="9">
        <v>10000134</v>
      </c>
      <c r="B78" s="9" t="s">
        <v>250</v>
      </c>
      <c r="C78" s="9" t="s">
        <v>304</v>
      </c>
      <c r="D78" s="9" t="s">
        <v>341</v>
      </c>
    </row>
    <row r="79" spans="1:11" x14ac:dyDescent="0.35">
      <c r="A79" s="9">
        <v>10003442</v>
      </c>
      <c r="B79" s="9" t="s">
        <v>250</v>
      </c>
      <c r="C79" s="9" t="s">
        <v>265</v>
      </c>
      <c r="D79" s="9" t="s">
        <v>342</v>
      </c>
    </row>
    <row r="80" spans="1:11" x14ac:dyDescent="0.35">
      <c r="A80" s="9">
        <v>10004930</v>
      </c>
      <c r="B80" s="9" t="s">
        <v>250</v>
      </c>
      <c r="C80" s="9" t="s">
        <v>268</v>
      </c>
      <c r="D80" s="9" t="s">
        <v>343</v>
      </c>
    </row>
    <row r="81" spans="1:4" x14ac:dyDescent="0.35">
      <c r="A81" s="9">
        <v>10003177</v>
      </c>
      <c r="B81" s="9" t="s">
        <v>250</v>
      </c>
      <c r="C81" s="9" t="s">
        <v>260</v>
      </c>
      <c r="D81" s="9" t="s">
        <v>344</v>
      </c>
    </row>
    <row r="82" spans="1:4" x14ac:dyDescent="0.35">
      <c r="A82" s="9">
        <v>10003799</v>
      </c>
      <c r="B82" s="9" t="s">
        <v>253</v>
      </c>
      <c r="C82" s="9" t="s">
        <v>282</v>
      </c>
      <c r="D82" s="9" t="s">
        <v>345</v>
      </c>
    </row>
    <row r="83" spans="1:4" x14ac:dyDescent="0.35">
      <c r="A83" s="9">
        <v>10002852</v>
      </c>
      <c r="B83" s="9" t="s">
        <v>250</v>
      </c>
      <c r="C83" s="9" t="s">
        <v>251</v>
      </c>
      <c r="D83" s="9" t="s">
        <v>346</v>
      </c>
    </row>
    <row r="84" spans="1:4" x14ac:dyDescent="0.35">
      <c r="A84" s="9">
        <v>10004738</v>
      </c>
      <c r="B84" s="9" t="s">
        <v>250</v>
      </c>
      <c r="C84" s="9" t="s">
        <v>251</v>
      </c>
      <c r="D84" s="9" t="s">
        <v>347</v>
      </c>
    </row>
    <row r="85" spans="1:4" x14ac:dyDescent="0.35">
      <c r="A85" s="9">
        <v>10000629</v>
      </c>
      <c r="B85" s="9" t="s">
        <v>253</v>
      </c>
      <c r="C85" s="9" t="s">
        <v>282</v>
      </c>
      <c r="D85" s="9" t="s">
        <v>348</v>
      </c>
    </row>
    <row r="86" spans="1:4" x14ac:dyDescent="0.35">
      <c r="A86" s="9">
        <v>10001721</v>
      </c>
      <c r="B86" s="9" t="s">
        <v>250</v>
      </c>
      <c r="C86" s="9" t="s">
        <v>251</v>
      </c>
      <c r="D86" s="9" t="s">
        <v>349</v>
      </c>
    </row>
    <row r="87" spans="1:4" x14ac:dyDescent="0.35">
      <c r="A87" s="9">
        <v>10000358</v>
      </c>
      <c r="B87" s="9" t="s">
        <v>250</v>
      </c>
      <c r="C87" s="9" t="s">
        <v>254</v>
      </c>
      <c r="D87" s="9" t="s">
        <v>350</v>
      </c>
    </row>
    <row r="88" spans="1:4" x14ac:dyDescent="0.35">
      <c r="A88" s="9">
        <v>10003256</v>
      </c>
      <c r="B88" s="9" t="s">
        <v>250</v>
      </c>
      <c r="C88" s="9" t="s">
        <v>260</v>
      </c>
      <c r="D88" s="9" t="s">
        <v>351</v>
      </c>
    </row>
    <row r="89" spans="1:4" x14ac:dyDescent="0.35">
      <c r="A89" s="9">
        <v>10001767</v>
      </c>
      <c r="B89" s="9" t="s">
        <v>246</v>
      </c>
      <c r="C89" s="9" t="s">
        <v>277</v>
      </c>
      <c r="D89" s="9" t="s">
        <v>352</v>
      </c>
    </row>
    <row r="90" spans="1:4" x14ac:dyDescent="0.35">
      <c r="A90" s="9">
        <v>10002609</v>
      </c>
      <c r="B90" s="9" t="s">
        <v>250</v>
      </c>
      <c r="C90" s="9" t="s">
        <v>251</v>
      </c>
      <c r="D90" s="9" t="s">
        <v>353</v>
      </c>
    </row>
    <row r="91" spans="1:4" x14ac:dyDescent="0.35">
      <c r="A91" s="9">
        <v>10004040</v>
      </c>
      <c r="B91" s="9" t="s">
        <v>250</v>
      </c>
      <c r="C91" s="9" t="s">
        <v>260</v>
      </c>
      <c r="D91" s="9" t="s">
        <v>354</v>
      </c>
    </row>
    <row r="92" spans="1:4" x14ac:dyDescent="0.35">
      <c r="A92" s="9">
        <v>10001552</v>
      </c>
      <c r="B92" s="9" t="s">
        <v>246</v>
      </c>
      <c r="C92" s="9" t="s">
        <v>277</v>
      </c>
      <c r="D92" s="9" t="s">
        <v>355</v>
      </c>
    </row>
    <row r="93" spans="1:4" x14ac:dyDescent="0.35">
      <c r="A93" s="9">
        <v>10004006</v>
      </c>
      <c r="B93" s="9" t="s">
        <v>253</v>
      </c>
      <c r="C93" s="9" t="s">
        <v>282</v>
      </c>
      <c r="D93" s="9" t="s">
        <v>356</v>
      </c>
    </row>
    <row r="94" spans="1:4" x14ac:dyDescent="0.35">
      <c r="A94" s="9">
        <v>10002794</v>
      </c>
      <c r="B94" s="9" t="s">
        <v>250</v>
      </c>
      <c r="C94" s="9" t="s">
        <v>251</v>
      </c>
      <c r="D94" s="9" t="s">
        <v>357</v>
      </c>
    </row>
    <row r="95" spans="1:4" x14ac:dyDescent="0.35">
      <c r="A95" s="9">
        <v>10003499</v>
      </c>
      <c r="B95" s="9" t="s">
        <v>246</v>
      </c>
      <c r="C95" s="9" t="s">
        <v>277</v>
      </c>
      <c r="D95" s="9" t="s">
        <v>358</v>
      </c>
    </row>
    <row r="96" spans="1:4" x14ac:dyDescent="0.35">
      <c r="A96" s="9">
        <v>10002844</v>
      </c>
      <c r="B96" s="9" t="s">
        <v>246</v>
      </c>
      <c r="C96" s="9" t="s">
        <v>247</v>
      </c>
      <c r="D96" s="9" t="s">
        <v>359</v>
      </c>
    </row>
    <row r="97" spans="1:4" x14ac:dyDescent="0.35">
      <c r="A97" s="9">
        <v>10000844</v>
      </c>
      <c r="B97" s="9" t="s">
        <v>246</v>
      </c>
      <c r="C97" s="9" t="s">
        <v>277</v>
      </c>
      <c r="D97" s="9" t="s">
        <v>360</v>
      </c>
    </row>
    <row r="98" spans="1:4" x14ac:dyDescent="0.35">
      <c r="A98" s="9">
        <v>10001934</v>
      </c>
      <c r="B98" s="9" t="s">
        <v>253</v>
      </c>
      <c r="C98" s="9" t="s">
        <v>282</v>
      </c>
      <c r="D98" s="9" t="s">
        <v>361</v>
      </c>
    </row>
    <row r="99" spans="1:4" x14ac:dyDescent="0.35">
      <c r="A99" s="9">
        <v>10000380</v>
      </c>
      <c r="B99" s="9" t="s">
        <v>250</v>
      </c>
      <c r="C99" s="9" t="s">
        <v>268</v>
      </c>
      <c r="D99" s="9" t="s">
        <v>362</v>
      </c>
    </row>
    <row r="100" spans="1:4" x14ac:dyDescent="0.35">
      <c r="A100" s="9">
        <v>10003981</v>
      </c>
      <c r="B100" s="9" t="s">
        <v>250</v>
      </c>
      <c r="C100" s="9" t="s">
        <v>251</v>
      </c>
      <c r="D100" s="9" t="s">
        <v>363</v>
      </c>
    </row>
    <row r="101" spans="1:4" x14ac:dyDescent="0.35">
      <c r="A101" s="9">
        <v>10000621</v>
      </c>
      <c r="B101" s="9" t="s">
        <v>250</v>
      </c>
      <c r="C101" s="9" t="s">
        <v>308</v>
      </c>
      <c r="D101" s="9" t="s">
        <v>364</v>
      </c>
    </row>
    <row r="102" spans="1:4" x14ac:dyDescent="0.35">
      <c r="A102" s="9">
        <v>10002600</v>
      </c>
      <c r="B102" s="9" t="s">
        <v>250</v>
      </c>
      <c r="C102" s="9" t="s">
        <v>284</v>
      </c>
      <c r="D102" s="9" t="s">
        <v>365</v>
      </c>
    </row>
    <row r="103" spans="1:4" x14ac:dyDescent="0.35">
      <c r="A103" s="9">
        <v>10004965</v>
      </c>
      <c r="B103" s="9" t="s">
        <v>250</v>
      </c>
      <c r="C103" s="9" t="s">
        <v>260</v>
      </c>
      <c r="D103" s="9" t="s">
        <v>366</v>
      </c>
    </row>
    <row r="104" spans="1:4" x14ac:dyDescent="0.35">
      <c r="A104" s="9">
        <v>10002504</v>
      </c>
      <c r="B104" s="9" t="s">
        <v>250</v>
      </c>
      <c r="C104" s="9" t="s">
        <v>284</v>
      </c>
      <c r="D104" s="9" t="s">
        <v>367</v>
      </c>
    </row>
    <row r="105" spans="1:4" x14ac:dyDescent="0.35">
      <c r="A105" s="9">
        <v>10001768</v>
      </c>
      <c r="B105" s="9" t="s">
        <v>253</v>
      </c>
      <c r="C105" s="9" t="s">
        <v>256</v>
      </c>
      <c r="D105" s="9" t="s">
        <v>368</v>
      </c>
    </row>
    <row r="106" spans="1:4" x14ac:dyDescent="0.35">
      <c r="A106" s="9">
        <v>10003650</v>
      </c>
      <c r="B106" s="9" t="s">
        <v>250</v>
      </c>
      <c r="C106" s="9" t="s">
        <v>251</v>
      </c>
      <c r="D106" s="9" t="s">
        <v>369</v>
      </c>
    </row>
  </sheetData>
  <dataValidations count="1">
    <dataValidation type="list" allowBlank="1" showInputMessage="1" showErrorMessage="1" sqref="H3" xr:uid="{10EF51AB-0786-4AB5-8346-803A4157B498}">
      <formula1>$B$2:$B$106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7AF4-1D96-461F-A4F5-3819A9AF4723}">
  <dimension ref="A1:P26"/>
  <sheetViews>
    <sheetView tabSelected="1" workbookViewId="0">
      <selection activeCell="A5" sqref="A5"/>
    </sheetView>
  </sheetViews>
  <sheetFormatPr defaultRowHeight="14.5" x14ac:dyDescent="0.35"/>
  <cols>
    <col min="1" max="1" width="9" bestFit="1" customWidth="1"/>
    <col min="2" max="2" width="11.1796875" bestFit="1" customWidth="1"/>
    <col min="3" max="3" width="4.1796875" bestFit="1" customWidth="1"/>
    <col min="4" max="4" width="7" bestFit="1" customWidth="1"/>
    <col min="5" max="5" width="7.1796875" bestFit="1" customWidth="1"/>
    <col min="6" max="6" width="15.54296875" bestFit="1" customWidth="1"/>
    <col min="7" max="7" width="11.54296875" bestFit="1" customWidth="1"/>
    <col min="8" max="8" width="10.54296875" bestFit="1" customWidth="1"/>
    <col min="9" max="9" width="16.7265625" bestFit="1" customWidth="1"/>
    <col min="10" max="10" width="13.1796875" bestFit="1" customWidth="1"/>
    <col min="12" max="12" width="12.453125" bestFit="1" customWidth="1"/>
    <col min="13" max="13" width="18" bestFit="1" customWidth="1"/>
    <col min="16" max="16" width="67.81640625" bestFit="1" customWidth="1"/>
  </cols>
  <sheetData>
    <row r="1" spans="1:16" x14ac:dyDescent="0.35">
      <c r="A1" s="11" t="s">
        <v>102</v>
      </c>
      <c r="B1" s="11" t="s">
        <v>103</v>
      </c>
      <c r="C1" s="11" t="s">
        <v>104</v>
      </c>
      <c r="D1" s="11" t="s">
        <v>105</v>
      </c>
      <c r="E1" s="11" t="s">
        <v>106</v>
      </c>
      <c r="F1" s="11" t="s">
        <v>107</v>
      </c>
      <c r="G1" s="11" t="s">
        <v>370</v>
      </c>
      <c r="H1" s="11" t="s">
        <v>371</v>
      </c>
      <c r="I1" s="11" t="s">
        <v>372</v>
      </c>
      <c r="J1" s="11" t="s">
        <v>373</v>
      </c>
      <c r="P1" t="s">
        <v>374</v>
      </c>
    </row>
    <row r="2" spans="1:16" x14ac:dyDescent="0.35">
      <c r="A2" s="4" t="s">
        <v>124</v>
      </c>
      <c r="B2" s="4" t="s">
        <v>125</v>
      </c>
      <c r="C2" s="4">
        <v>28</v>
      </c>
      <c r="D2" s="4" t="s">
        <v>126</v>
      </c>
      <c r="E2" s="4">
        <v>8500</v>
      </c>
      <c r="F2" s="4">
        <v>3</v>
      </c>
      <c r="G2" s="4" t="s">
        <v>375</v>
      </c>
      <c r="H2" s="10">
        <v>0.95</v>
      </c>
      <c r="I2" s="4" t="s">
        <v>376</v>
      </c>
      <c r="J2" s="4" t="s">
        <v>377</v>
      </c>
      <c r="P2" t="s">
        <v>378</v>
      </c>
    </row>
    <row r="3" spans="1:16" x14ac:dyDescent="0.35">
      <c r="A3" s="4" t="s">
        <v>127</v>
      </c>
      <c r="B3" s="4" t="s">
        <v>128</v>
      </c>
      <c r="C3" s="4">
        <v>31</v>
      </c>
      <c r="D3" s="4" t="s">
        <v>84</v>
      </c>
      <c r="E3" s="4">
        <v>12000</v>
      </c>
      <c r="F3" s="4">
        <v>7</v>
      </c>
      <c r="G3" s="4" t="s">
        <v>379</v>
      </c>
      <c r="H3" s="10">
        <v>0.98</v>
      </c>
      <c r="I3" s="4" t="s">
        <v>377</v>
      </c>
      <c r="J3" s="4" t="s">
        <v>376</v>
      </c>
      <c r="P3" t="s">
        <v>380</v>
      </c>
    </row>
    <row r="4" spans="1:16" x14ac:dyDescent="0.35">
      <c r="A4" s="4" t="s">
        <v>129</v>
      </c>
      <c r="B4" s="4" t="s">
        <v>130</v>
      </c>
      <c r="C4" s="4">
        <v>25</v>
      </c>
      <c r="D4" s="4" t="s">
        <v>126</v>
      </c>
      <c r="E4" s="4">
        <v>10500</v>
      </c>
      <c r="F4" s="4">
        <v>2</v>
      </c>
      <c r="G4" s="4" t="s">
        <v>381</v>
      </c>
      <c r="H4" s="10">
        <v>0.85</v>
      </c>
      <c r="I4" s="4" t="s">
        <v>376</v>
      </c>
      <c r="J4" s="4" t="s">
        <v>377</v>
      </c>
    </row>
    <row r="5" spans="1:16" x14ac:dyDescent="0.35">
      <c r="A5" s="4" t="s">
        <v>131</v>
      </c>
      <c r="B5" s="4" t="s">
        <v>132</v>
      </c>
      <c r="C5" s="4">
        <v>35</v>
      </c>
      <c r="D5" s="4" t="s">
        <v>84</v>
      </c>
      <c r="E5" s="4">
        <v>15500</v>
      </c>
      <c r="F5" s="4">
        <v>10</v>
      </c>
      <c r="G5" s="4" t="s">
        <v>379</v>
      </c>
      <c r="H5" s="10">
        <v>0.99</v>
      </c>
      <c r="I5" s="4" t="s">
        <v>377</v>
      </c>
      <c r="J5" s="4" t="s">
        <v>376</v>
      </c>
      <c r="P5" t="s">
        <v>382</v>
      </c>
    </row>
    <row r="6" spans="1:16" x14ac:dyDescent="0.35">
      <c r="A6" s="4" t="s">
        <v>133</v>
      </c>
      <c r="B6" s="4" t="s">
        <v>134</v>
      </c>
      <c r="C6" s="4">
        <v>29</v>
      </c>
      <c r="D6" s="4" t="s">
        <v>126</v>
      </c>
      <c r="E6" s="4">
        <v>9200</v>
      </c>
      <c r="F6" s="4">
        <v>4</v>
      </c>
      <c r="G6" s="4" t="s">
        <v>375</v>
      </c>
      <c r="H6" s="10">
        <v>0.91</v>
      </c>
      <c r="I6" s="4" t="s">
        <v>376</v>
      </c>
      <c r="J6" s="4" t="s">
        <v>377</v>
      </c>
      <c r="P6" t="s">
        <v>383</v>
      </c>
    </row>
    <row r="7" spans="1:16" x14ac:dyDescent="0.35">
      <c r="A7" s="4" t="s">
        <v>135</v>
      </c>
      <c r="B7" s="4" t="s">
        <v>125</v>
      </c>
      <c r="C7" s="4">
        <v>26</v>
      </c>
      <c r="D7" s="4" t="s">
        <v>84</v>
      </c>
      <c r="E7" s="4">
        <v>8800</v>
      </c>
      <c r="F7" s="4">
        <v>3</v>
      </c>
      <c r="G7" s="4" t="s">
        <v>381</v>
      </c>
      <c r="H7" s="10">
        <v>0.89</v>
      </c>
      <c r="I7" s="4" t="s">
        <v>376</v>
      </c>
      <c r="J7" s="4" t="s">
        <v>377</v>
      </c>
      <c r="P7" t="s">
        <v>384</v>
      </c>
    </row>
    <row r="8" spans="1:16" x14ac:dyDescent="0.35">
      <c r="A8" s="4" t="s">
        <v>136</v>
      </c>
      <c r="B8" s="4" t="s">
        <v>128</v>
      </c>
      <c r="C8" s="4">
        <v>38</v>
      </c>
      <c r="D8" s="4" t="s">
        <v>126</v>
      </c>
      <c r="E8" s="4">
        <v>13500</v>
      </c>
      <c r="F8" s="4">
        <v>11</v>
      </c>
      <c r="G8" s="4" t="s">
        <v>379</v>
      </c>
      <c r="H8" s="10">
        <v>0.97</v>
      </c>
      <c r="I8" s="4" t="s">
        <v>377</v>
      </c>
      <c r="J8" s="4" t="s">
        <v>376</v>
      </c>
    </row>
    <row r="9" spans="1:16" x14ac:dyDescent="0.35">
      <c r="A9" s="4" t="s">
        <v>137</v>
      </c>
      <c r="B9" s="4" t="s">
        <v>130</v>
      </c>
      <c r="C9" s="4">
        <v>27</v>
      </c>
      <c r="D9" s="4" t="s">
        <v>84</v>
      </c>
      <c r="E9" s="4">
        <v>11000</v>
      </c>
      <c r="F9" s="4">
        <v>4</v>
      </c>
      <c r="G9" s="4" t="s">
        <v>375</v>
      </c>
      <c r="H9" s="10">
        <v>0.92</v>
      </c>
      <c r="I9" s="4" t="s">
        <v>376</v>
      </c>
      <c r="J9" s="4" t="s">
        <v>377</v>
      </c>
      <c r="P9" t="s">
        <v>385</v>
      </c>
    </row>
    <row r="10" spans="1:16" x14ac:dyDescent="0.35">
      <c r="A10" s="4" t="s">
        <v>141</v>
      </c>
      <c r="B10" s="4" t="s">
        <v>132</v>
      </c>
      <c r="C10" s="4">
        <v>42</v>
      </c>
      <c r="D10" s="4" t="s">
        <v>126</v>
      </c>
      <c r="E10" s="4">
        <v>17000</v>
      </c>
      <c r="F10" s="4">
        <v>15</v>
      </c>
      <c r="G10" s="4" t="s">
        <v>379</v>
      </c>
      <c r="H10" s="10">
        <v>0.96</v>
      </c>
      <c r="I10" s="4" t="s">
        <v>377</v>
      </c>
      <c r="J10" s="4" t="s">
        <v>376</v>
      </c>
      <c r="P10" t="s">
        <v>386</v>
      </c>
    </row>
    <row r="11" spans="1:16" x14ac:dyDescent="0.35">
      <c r="A11" s="4" t="s">
        <v>142</v>
      </c>
      <c r="B11" s="4" t="s">
        <v>134</v>
      </c>
      <c r="C11" s="4">
        <v>24</v>
      </c>
      <c r="D11" s="4" t="s">
        <v>84</v>
      </c>
      <c r="E11" s="4">
        <v>7800</v>
      </c>
      <c r="F11" s="4">
        <v>1</v>
      </c>
      <c r="G11" s="4" t="s">
        <v>387</v>
      </c>
      <c r="H11" s="10">
        <v>0.83</v>
      </c>
      <c r="I11" s="4" t="s">
        <v>376</v>
      </c>
      <c r="J11" s="4" t="s">
        <v>377</v>
      </c>
      <c r="P11" t="s">
        <v>388</v>
      </c>
    </row>
    <row r="12" spans="1:16" x14ac:dyDescent="0.35">
      <c r="A12" s="4" t="s">
        <v>143</v>
      </c>
      <c r="B12" s="4" t="s">
        <v>125</v>
      </c>
      <c r="C12" s="4">
        <v>33</v>
      </c>
      <c r="D12" s="4" t="s">
        <v>126</v>
      </c>
      <c r="E12" s="4">
        <v>9500</v>
      </c>
      <c r="F12" s="4">
        <v>6</v>
      </c>
      <c r="G12" s="4" t="s">
        <v>375</v>
      </c>
      <c r="H12" s="10">
        <v>0.9</v>
      </c>
      <c r="I12" s="4" t="s">
        <v>377</v>
      </c>
      <c r="J12" s="4" t="s">
        <v>376</v>
      </c>
    </row>
    <row r="13" spans="1:16" x14ac:dyDescent="0.35">
      <c r="A13" s="4" t="s">
        <v>144</v>
      </c>
      <c r="B13" s="4" t="s">
        <v>128</v>
      </c>
      <c r="C13" s="4">
        <v>30</v>
      </c>
      <c r="D13" s="4" t="s">
        <v>84</v>
      </c>
      <c r="E13" s="4">
        <v>12500</v>
      </c>
      <c r="F13" s="4">
        <v>5</v>
      </c>
      <c r="G13" s="4" t="s">
        <v>379</v>
      </c>
      <c r="H13" s="10">
        <v>0.98</v>
      </c>
      <c r="I13" s="4" t="s">
        <v>377</v>
      </c>
      <c r="J13" s="4" t="s">
        <v>377</v>
      </c>
      <c r="P13" t="s">
        <v>389</v>
      </c>
    </row>
    <row r="14" spans="1:16" x14ac:dyDescent="0.35">
      <c r="A14" s="4" t="s">
        <v>145</v>
      </c>
      <c r="B14" s="4" t="s">
        <v>130</v>
      </c>
      <c r="C14" s="4">
        <v>29</v>
      </c>
      <c r="D14" s="4" t="s">
        <v>126</v>
      </c>
      <c r="E14" s="4">
        <v>11200</v>
      </c>
      <c r="F14" s="4">
        <v>5</v>
      </c>
      <c r="G14" s="4" t="s">
        <v>375</v>
      </c>
      <c r="H14" s="10">
        <v>0.93</v>
      </c>
      <c r="I14" s="4" t="s">
        <v>376</v>
      </c>
      <c r="J14" s="4" t="s">
        <v>377</v>
      </c>
      <c r="P14" t="s">
        <v>390</v>
      </c>
    </row>
    <row r="15" spans="1:16" x14ac:dyDescent="0.35">
      <c r="A15" s="4" t="s">
        <v>146</v>
      </c>
      <c r="B15" s="4" t="s">
        <v>132</v>
      </c>
      <c r="C15" s="4">
        <v>40</v>
      </c>
      <c r="D15" s="4" t="s">
        <v>84</v>
      </c>
      <c r="E15" s="4">
        <v>16000</v>
      </c>
      <c r="F15" s="4">
        <v>12</v>
      </c>
      <c r="G15" s="4" t="s">
        <v>379</v>
      </c>
      <c r="H15" s="10">
        <v>0.99</v>
      </c>
      <c r="I15" s="4" t="s">
        <v>377</v>
      </c>
      <c r="J15" s="4" t="s">
        <v>376</v>
      </c>
      <c r="P15" t="s">
        <v>391</v>
      </c>
    </row>
    <row r="16" spans="1:16" x14ac:dyDescent="0.35">
      <c r="A16" s="4" t="s">
        <v>147</v>
      </c>
      <c r="B16" s="4" t="s">
        <v>134</v>
      </c>
      <c r="C16" s="4">
        <v>36</v>
      </c>
      <c r="D16" s="4" t="s">
        <v>126</v>
      </c>
      <c r="E16" s="4">
        <v>11800</v>
      </c>
      <c r="F16" s="4">
        <v>9</v>
      </c>
      <c r="G16" s="4" t="s">
        <v>375</v>
      </c>
      <c r="H16" s="10">
        <v>0.88</v>
      </c>
      <c r="I16" s="4" t="s">
        <v>377</v>
      </c>
      <c r="J16" s="4" t="s">
        <v>376</v>
      </c>
    </row>
    <row r="17" spans="1:10" x14ac:dyDescent="0.35">
      <c r="A17" s="4" t="s">
        <v>148</v>
      </c>
      <c r="B17" s="4" t="s">
        <v>125</v>
      </c>
      <c r="C17" s="4">
        <v>27</v>
      </c>
      <c r="D17" s="4" t="s">
        <v>84</v>
      </c>
      <c r="E17" s="4">
        <v>8900</v>
      </c>
      <c r="F17" s="4">
        <v>2</v>
      </c>
      <c r="G17" s="4" t="s">
        <v>381</v>
      </c>
      <c r="H17" s="10">
        <v>0.87</v>
      </c>
      <c r="I17" s="4" t="s">
        <v>376</v>
      </c>
      <c r="J17" s="4" t="s">
        <v>377</v>
      </c>
    </row>
    <row r="18" spans="1:10" x14ac:dyDescent="0.35">
      <c r="A18" s="4" t="s">
        <v>152</v>
      </c>
      <c r="B18" s="4" t="s">
        <v>128</v>
      </c>
      <c r="C18" s="4">
        <v>32</v>
      </c>
      <c r="D18" s="4" t="s">
        <v>126</v>
      </c>
      <c r="E18" s="4">
        <v>12800</v>
      </c>
      <c r="F18" s="4">
        <v>8</v>
      </c>
      <c r="G18" s="4" t="s">
        <v>375</v>
      </c>
      <c r="H18" s="10">
        <v>0.95</v>
      </c>
      <c r="I18" s="4" t="s">
        <v>377</v>
      </c>
      <c r="J18" s="4" t="s">
        <v>376</v>
      </c>
    </row>
    <row r="19" spans="1:10" x14ac:dyDescent="0.35">
      <c r="A19" s="4" t="s">
        <v>153</v>
      </c>
      <c r="B19" s="4" t="s">
        <v>130</v>
      </c>
      <c r="C19" s="4">
        <v>26</v>
      </c>
      <c r="D19" s="4" t="s">
        <v>84</v>
      </c>
      <c r="E19" s="4">
        <v>9800</v>
      </c>
      <c r="F19" s="4">
        <v>2</v>
      </c>
      <c r="G19" s="4" t="s">
        <v>381</v>
      </c>
      <c r="H19" s="10">
        <v>0.9</v>
      </c>
      <c r="I19" s="4" t="s">
        <v>376</v>
      </c>
      <c r="J19" s="4" t="s">
        <v>377</v>
      </c>
    </row>
    <row r="20" spans="1:10" x14ac:dyDescent="0.35">
      <c r="A20" s="4" t="s">
        <v>154</v>
      </c>
      <c r="B20" s="4" t="s">
        <v>132</v>
      </c>
      <c r="C20" s="4">
        <v>39</v>
      </c>
      <c r="D20" s="4" t="s">
        <v>126</v>
      </c>
      <c r="E20" s="4">
        <v>14200</v>
      </c>
      <c r="F20" s="4">
        <v>9</v>
      </c>
      <c r="G20" s="4" t="s">
        <v>375</v>
      </c>
      <c r="H20" s="10">
        <v>0.93</v>
      </c>
      <c r="I20" s="4" t="s">
        <v>377</v>
      </c>
      <c r="J20" s="4" t="s">
        <v>376</v>
      </c>
    </row>
    <row r="21" spans="1:10" x14ac:dyDescent="0.35">
      <c r="A21" s="4" t="s">
        <v>155</v>
      </c>
      <c r="B21" s="4" t="s">
        <v>134</v>
      </c>
      <c r="C21" s="4">
        <v>25</v>
      </c>
      <c r="D21" s="4" t="s">
        <v>84</v>
      </c>
      <c r="E21" s="4">
        <v>8000</v>
      </c>
      <c r="F21" s="4">
        <v>2</v>
      </c>
      <c r="G21" s="4" t="s">
        <v>387</v>
      </c>
      <c r="H21" s="10">
        <v>0.82</v>
      </c>
      <c r="I21" s="4" t="s">
        <v>376</v>
      </c>
      <c r="J21" s="4" t="s">
        <v>377</v>
      </c>
    </row>
    <row r="22" spans="1:10" x14ac:dyDescent="0.35">
      <c r="A22" s="4" t="s">
        <v>156</v>
      </c>
      <c r="B22" s="4" t="s">
        <v>125</v>
      </c>
      <c r="C22" s="4">
        <v>31</v>
      </c>
      <c r="D22" s="4" t="s">
        <v>126</v>
      </c>
      <c r="E22" s="4">
        <v>9700</v>
      </c>
      <c r="F22" s="4">
        <v>5</v>
      </c>
      <c r="G22" s="4" t="s">
        <v>375</v>
      </c>
      <c r="H22" s="10">
        <v>0.9</v>
      </c>
      <c r="I22" s="4" t="s">
        <v>376</v>
      </c>
      <c r="J22" s="4" t="s">
        <v>376</v>
      </c>
    </row>
    <row r="23" spans="1:10" x14ac:dyDescent="0.35">
      <c r="A23" s="4" t="s">
        <v>157</v>
      </c>
      <c r="B23" s="4" t="s">
        <v>128</v>
      </c>
      <c r="C23" s="4">
        <v>45</v>
      </c>
      <c r="D23" s="4" t="s">
        <v>84</v>
      </c>
      <c r="E23" s="4">
        <v>15000</v>
      </c>
      <c r="F23" s="4">
        <v>18</v>
      </c>
      <c r="G23" s="4" t="s">
        <v>379</v>
      </c>
      <c r="H23" s="10">
        <v>0.99</v>
      </c>
      <c r="I23" s="4" t="s">
        <v>377</v>
      </c>
      <c r="J23" s="4" t="s">
        <v>376</v>
      </c>
    </row>
    <row r="24" spans="1:10" x14ac:dyDescent="0.35">
      <c r="A24" s="4" t="s">
        <v>158</v>
      </c>
      <c r="B24" s="4" t="s">
        <v>130</v>
      </c>
      <c r="C24" s="4">
        <v>28</v>
      </c>
      <c r="D24" s="4" t="s">
        <v>126</v>
      </c>
      <c r="E24" s="4">
        <v>10800</v>
      </c>
      <c r="F24" s="4">
        <v>3</v>
      </c>
      <c r="G24" s="4" t="s">
        <v>375</v>
      </c>
      <c r="H24" s="10">
        <v>0.89</v>
      </c>
      <c r="I24" s="4" t="s">
        <v>376</v>
      </c>
      <c r="J24" s="4" t="s">
        <v>377</v>
      </c>
    </row>
    <row r="25" spans="1:10" x14ac:dyDescent="0.35">
      <c r="A25" s="4" t="s">
        <v>159</v>
      </c>
      <c r="B25" s="4" t="s">
        <v>132</v>
      </c>
      <c r="C25" s="4">
        <v>34</v>
      </c>
      <c r="D25" s="4" t="s">
        <v>84</v>
      </c>
      <c r="E25" s="4">
        <v>13000</v>
      </c>
      <c r="F25" s="4">
        <v>7</v>
      </c>
      <c r="G25" s="4" t="s">
        <v>379</v>
      </c>
      <c r="H25" s="10">
        <v>0.97</v>
      </c>
      <c r="I25" s="4" t="s">
        <v>377</v>
      </c>
      <c r="J25" s="4" t="s">
        <v>376</v>
      </c>
    </row>
    <row r="26" spans="1:10" x14ac:dyDescent="0.35">
      <c r="A26" s="4" t="s">
        <v>160</v>
      </c>
      <c r="B26" s="4" t="s">
        <v>134</v>
      </c>
      <c r="C26" s="4">
        <v>37</v>
      </c>
      <c r="D26" s="4" t="s">
        <v>126</v>
      </c>
      <c r="E26" s="4">
        <v>12000</v>
      </c>
      <c r="F26" s="4">
        <v>10</v>
      </c>
      <c r="G26" s="4" t="s">
        <v>379</v>
      </c>
      <c r="H26" s="10">
        <v>0.96</v>
      </c>
      <c r="I26" s="4" t="s">
        <v>377</v>
      </c>
      <c r="J26" s="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If</vt:lpstr>
      <vt:lpstr>Logical function</vt:lpstr>
      <vt:lpstr>Nested if</vt:lpstr>
      <vt:lpstr>Advanced Index</vt:lpstr>
      <vt:lpstr>Advanced Index 2</vt:lpstr>
      <vt:lpstr>VLook up</vt:lpstr>
      <vt:lpstr>XLookup</vt:lpstr>
      <vt:lpstr>Adv. Xlookup</vt:lpstr>
      <vt:lpstr>HLookUp</vt:lpstr>
      <vt:lpstr>Filter</vt:lpstr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2026-04-03T15:53:18Z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2025-10-31T23:10:48Z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99d69f08-6d01-4298-9dba-fb446dd45ef1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