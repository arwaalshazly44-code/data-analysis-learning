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mit\excel\"/>
    </mc:Choice>
  </mc:AlternateContent>
  <xr:revisionPtr revIDLastSave="0" documentId="13_ncr:1_{3D714AC3-3F47-4573-9705-C237F8538BCA}" xr6:coauthVersionLast="47" xr6:coauthVersionMax="47" xr10:uidLastSave="{00000000-0000-0000-0000-000000000000}"/>
  <bookViews>
    <workbookView xWindow="-108" yWindow="-108" windowWidth="23256" windowHeight="12456" activeTab="2" xr2:uid="{7DF3FA72-6D65-431F-ABC8-EA2DF96D337D}"/>
  </bookViews>
  <sheets>
    <sheet name="Row_Data" sheetId="1" r:id="rId1"/>
    <sheet name="sumif" sheetId="2" r:id="rId2"/>
    <sheet name="sum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E2" i="2" s="1"/>
  <c r="A9" i="3" a="1"/>
  <c r="A9" i="3" s="1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C10" i="3"/>
  <c r="D10" i="3"/>
  <c r="E10" i="3"/>
  <c r="F10" i="3"/>
  <c r="G10" i="3"/>
  <c r="H10" i="3"/>
  <c r="B10" i="3"/>
  <c r="B9" i="3" a="1"/>
  <c r="B9" i="3" s="1"/>
  <c r="A3" i="3" a="1"/>
  <c r="A3" i="3" s="1"/>
  <c r="A3" i="2" a="1"/>
  <c r="A3" i="2" s="1"/>
  <c r="L312" i="1"/>
  <c r="L250" i="1"/>
  <c r="L319" i="1"/>
  <c r="L80" i="1"/>
  <c r="L305" i="1"/>
  <c r="L154" i="1"/>
  <c r="L19" i="1"/>
  <c r="L320" i="1"/>
  <c r="L117" i="1"/>
  <c r="L88" i="1"/>
  <c r="L212" i="1"/>
  <c r="L192" i="1"/>
  <c r="L8" i="1"/>
  <c r="L53" i="1"/>
  <c r="L62" i="1"/>
  <c r="L131" i="1"/>
  <c r="L64" i="1"/>
  <c r="L198" i="1"/>
  <c r="L46" i="1"/>
  <c r="L114" i="1"/>
  <c r="L128" i="1"/>
  <c r="L26" i="1"/>
  <c r="L150" i="1"/>
  <c r="L112" i="1"/>
  <c r="L103" i="1"/>
  <c r="L263" i="1"/>
  <c r="L34" i="1"/>
  <c r="L15" i="1"/>
  <c r="L313" i="1"/>
  <c r="L135" i="1"/>
  <c r="L104" i="1"/>
  <c r="L176" i="1"/>
  <c r="L160" i="1"/>
  <c r="L126" i="1"/>
  <c r="L216" i="1"/>
  <c r="L229" i="1"/>
  <c r="L219" i="1"/>
  <c r="L171" i="1"/>
  <c r="L276" i="1"/>
  <c r="L318" i="1"/>
  <c r="L130" i="1"/>
  <c r="L10" i="1"/>
  <c r="L191" i="1"/>
  <c r="L136" i="1"/>
  <c r="L140" i="1"/>
  <c r="L237" i="1"/>
  <c r="L45" i="1"/>
  <c r="L100" i="1"/>
  <c r="L108" i="1"/>
  <c r="L174" i="1"/>
  <c r="L170" i="1"/>
  <c r="L295" i="1"/>
  <c r="L159" i="1"/>
  <c r="L39" i="1"/>
  <c r="L214" i="1"/>
  <c r="L248" i="1"/>
  <c r="L165" i="1"/>
  <c r="L190" i="1"/>
  <c r="L270" i="1"/>
  <c r="L94" i="1"/>
  <c r="L304" i="1"/>
  <c r="L16" i="1"/>
  <c r="L14" i="1"/>
  <c r="L292" i="1"/>
  <c r="L202" i="1"/>
  <c r="L205" i="1"/>
  <c r="L17" i="1"/>
  <c r="L162" i="1"/>
  <c r="L161" i="1"/>
  <c r="L76" i="1"/>
  <c r="L259" i="1"/>
  <c r="L52" i="1"/>
  <c r="L194" i="1"/>
  <c r="L211" i="1"/>
  <c r="L156" i="1"/>
  <c r="L59" i="1"/>
  <c r="L33" i="1"/>
  <c r="L197" i="1"/>
  <c r="L21" i="1"/>
  <c r="L78" i="1"/>
  <c r="L274" i="1"/>
  <c r="L180" i="1"/>
  <c r="L265" i="1"/>
  <c r="L23" i="1"/>
  <c r="L60" i="1"/>
  <c r="L301" i="1"/>
  <c r="L163" i="1"/>
  <c r="L151" i="1"/>
  <c r="L307" i="1"/>
  <c r="L37" i="1"/>
  <c r="L217" i="1"/>
  <c r="L96" i="1"/>
  <c r="L291" i="1"/>
  <c r="L244" i="1"/>
  <c r="L24" i="1"/>
  <c r="L264" i="1"/>
  <c r="L297" i="1"/>
  <c r="L51" i="1"/>
  <c r="L5" i="1"/>
  <c r="L306" i="1"/>
  <c r="L178" i="1"/>
  <c r="L175" i="1"/>
  <c r="L98" i="1"/>
  <c r="L285" i="1"/>
  <c r="L309" i="1"/>
  <c r="L137" i="1"/>
  <c r="L230" i="1"/>
  <c r="L196" i="1"/>
  <c r="L90" i="1"/>
  <c r="L115" i="1"/>
  <c r="L74" i="1"/>
  <c r="L153" i="1"/>
  <c r="L95" i="1"/>
  <c r="L63" i="1"/>
  <c r="L257" i="1"/>
  <c r="L40" i="1"/>
  <c r="L227" i="1"/>
  <c r="L31" i="1"/>
  <c r="L134" i="1"/>
  <c r="L164" i="1"/>
  <c r="L204" i="1"/>
  <c r="L149" i="1"/>
  <c r="L84" i="1"/>
  <c r="L86" i="1"/>
  <c r="L83" i="1"/>
  <c r="L147" i="1"/>
  <c r="L314" i="1"/>
  <c r="L99" i="1"/>
  <c r="L238" i="1"/>
  <c r="L279" i="1"/>
  <c r="L235" i="1"/>
  <c r="L133" i="1"/>
  <c r="L145" i="1"/>
  <c r="L138" i="1"/>
  <c r="L298" i="1"/>
  <c r="L184" i="1"/>
  <c r="L288" i="1"/>
  <c r="L246" i="1"/>
  <c r="L269" i="1"/>
  <c r="L281" i="1"/>
  <c r="L275" i="1"/>
  <c r="L255" i="1"/>
  <c r="L251" i="1"/>
  <c r="L123" i="1"/>
  <c r="L141" i="1"/>
  <c r="L44" i="1"/>
  <c r="L262" i="1"/>
  <c r="L186" i="1"/>
  <c r="L278" i="1"/>
  <c r="L286" i="1"/>
  <c r="L4" i="1"/>
  <c r="L290" i="1"/>
  <c r="L220" i="1"/>
  <c r="L25" i="1"/>
  <c r="L111" i="1"/>
  <c r="L282" i="1"/>
  <c r="L105" i="1"/>
  <c r="L13" i="1"/>
  <c r="L81" i="1"/>
  <c r="L73" i="1"/>
  <c r="L28" i="1"/>
  <c r="L49" i="1"/>
  <c r="L42" i="1"/>
  <c r="L157" i="1"/>
  <c r="L188" i="1"/>
  <c r="L207" i="1"/>
  <c r="L9" i="1"/>
  <c r="L47" i="1"/>
  <c r="L56" i="1"/>
  <c r="L233" i="1"/>
  <c r="L231" i="1"/>
  <c r="L57" i="1"/>
  <c r="L183" i="1"/>
  <c r="L166" i="1"/>
  <c r="L106" i="1"/>
  <c r="L308" i="1"/>
  <c r="L283" i="1"/>
  <c r="L85" i="1"/>
  <c r="L67" i="1"/>
  <c r="L311" i="1"/>
  <c r="L242" i="1"/>
  <c r="L124" i="1"/>
  <c r="L29" i="1"/>
  <c r="L89" i="1"/>
  <c r="L155" i="1"/>
  <c r="L35" i="1"/>
  <c r="L168" i="1"/>
  <c r="L213" i="1"/>
  <c r="L107" i="1"/>
  <c r="L146" i="1"/>
  <c r="L71" i="1"/>
  <c r="L310" i="1"/>
  <c r="L93" i="1"/>
  <c r="L139" i="1"/>
  <c r="L158" i="1"/>
  <c r="L113" i="1"/>
  <c r="L303" i="1"/>
  <c r="L218" i="1"/>
  <c r="L79" i="1"/>
  <c r="L272" i="1"/>
  <c r="L293" i="1"/>
  <c r="L296" i="1"/>
  <c r="L118" i="1"/>
  <c r="L91" i="1"/>
  <c r="L41" i="1"/>
  <c r="L232" i="1"/>
  <c r="L243" i="1"/>
  <c r="L249" i="1"/>
  <c r="L225" i="1"/>
  <c r="L261" i="1"/>
  <c r="L55" i="1"/>
  <c r="L189" i="1"/>
  <c r="L48" i="1"/>
  <c r="L72" i="1"/>
  <c r="L36" i="1"/>
  <c r="L127" i="1"/>
  <c r="L173" i="1"/>
  <c r="L32" i="1"/>
  <c r="L167" i="1"/>
  <c r="L271" i="1"/>
  <c r="L187" i="1"/>
  <c r="L119" i="1"/>
  <c r="L18" i="1"/>
  <c r="L169" i="1"/>
  <c r="L315" i="1"/>
  <c r="L65" i="1"/>
  <c r="L122" i="1"/>
  <c r="L200" i="1"/>
  <c r="L110" i="1"/>
  <c r="L208" i="1"/>
  <c r="L54" i="1"/>
  <c r="L258" i="1"/>
  <c r="L3" i="1"/>
  <c r="L38" i="1"/>
  <c r="L7" i="1"/>
  <c r="L116" i="1"/>
  <c r="L6" i="1"/>
  <c r="L43" i="1"/>
  <c r="L2" i="1"/>
  <c r="L101" i="1"/>
  <c r="L92" i="1"/>
  <c r="L185" i="1"/>
  <c r="L70" i="1"/>
  <c r="L234" i="1"/>
  <c r="L267" i="1"/>
  <c r="L11" i="1"/>
  <c r="L97" i="1"/>
  <c r="L317" i="1"/>
  <c r="L254" i="1"/>
  <c r="L75" i="1"/>
  <c r="L256" i="1"/>
  <c r="L241" i="1"/>
  <c r="L143" i="1"/>
  <c r="L179" i="1"/>
  <c r="L226" i="1"/>
  <c r="L27" i="1"/>
  <c r="L68" i="1"/>
  <c r="L316" i="1"/>
  <c r="L236" i="1"/>
  <c r="L268" i="1"/>
  <c r="L69" i="1"/>
  <c r="L66" i="1"/>
  <c r="L121" i="1"/>
  <c r="L182" i="1"/>
  <c r="L129" i="1"/>
  <c r="L253" i="1"/>
  <c r="L87" i="1"/>
  <c r="L280" i="1"/>
  <c r="L223" i="1"/>
  <c r="L321" i="1"/>
  <c r="L22" i="1"/>
  <c r="L120" i="1"/>
  <c r="L109" i="1"/>
  <c r="L284" i="1"/>
  <c r="L142" i="1"/>
  <c r="L221" i="1"/>
  <c r="L50" i="1"/>
  <c r="L277" i="1"/>
  <c r="L82" i="1"/>
  <c r="L148" i="1"/>
  <c r="L228" i="1"/>
  <c r="L203" i="1"/>
  <c r="L289" i="1"/>
  <c r="L144" i="1"/>
  <c r="L245" i="1"/>
  <c r="L77" i="1"/>
  <c r="L177" i="1"/>
  <c r="L260" i="1"/>
  <c r="L181" i="1"/>
  <c r="L20" i="1"/>
  <c r="L302" i="1"/>
  <c r="L299" i="1"/>
  <c r="L152" i="1"/>
  <c r="L193" i="1"/>
  <c r="L240" i="1"/>
  <c r="L209" i="1"/>
  <c r="L294" i="1"/>
  <c r="L224" i="1"/>
  <c r="L172" i="1"/>
  <c r="L201" i="1"/>
  <c r="L239" i="1"/>
  <c r="L125" i="1"/>
  <c r="L287" i="1"/>
  <c r="L273" i="1"/>
  <c r="L199" i="1"/>
  <c r="L30" i="1"/>
  <c r="L215" i="1"/>
  <c r="L222" i="1"/>
  <c r="L58" i="1"/>
  <c r="L206" i="1"/>
  <c r="L210" i="1"/>
  <c r="L132" i="1"/>
  <c r="L252" i="1"/>
  <c r="L195" i="1"/>
  <c r="L300" i="1"/>
  <c r="L61" i="1"/>
  <c r="L266" i="1"/>
  <c r="L102" i="1"/>
  <c r="L12" i="1"/>
  <c r="L247" i="1"/>
  <c r="B3" i="3" l="1" a="1"/>
  <c r="B3" i="3" s="1"/>
  <c r="B5" i="3" s="1"/>
  <c r="B5" i="2"/>
  <c r="B4" i="2"/>
  <c r="C5" i="2"/>
  <c r="C4" i="2"/>
  <c r="F3" i="2"/>
  <c r="F5" i="2"/>
  <c r="F4" i="2"/>
  <c r="G3" i="2"/>
  <c r="G5" i="2"/>
  <c r="G4" i="2"/>
  <c r="C3" i="2"/>
  <c r="B3" i="2"/>
  <c r="G6" i="3" l="1"/>
  <c r="C5" i="3"/>
  <c r="G5" i="3"/>
  <c r="D5" i="3"/>
  <c r="G4" i="3"/>
  <c r="H5" i="3"/>
  <c r="C4" i="3"/>
  <c r="B6" i="3"/>
  <c r="H4" i="3"/>
  <c r="F4" i="3"/>
  <c r="E5" i="3"/>
  <c r="C6" i="3"/>
  <c r="H6" i="3"/>
  <c r="D4" i="3"/>
  <c r="B4" i="3"/>
  <c r="D6" i="3"/>
  <c r="F5" i="3"/>
  <c r="E6" i="3"/>
  <c r="E4" i="3"/>
  <c r="F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<sst xmlns="http://schemas.openxmlformats.org/spreadsheetml/2006/main" count="1938" uniqueCount="669">
  <si>
    <t>Order ID</t>
  </si>
  <si>
    <t>Date</t>
  </si>
  <si>
    <t>Customer Email</t>
  </si>
  <si>
    <t>Product</t>
  </si>
  <si>
    <t>Category</t>
  </si>
  <si>
    <t>Quantity</t>
  </si>
  <si>
    <t>Unit Price</t>
  </si>
  <si>
    <t>Payment Method</t>
  </si>
  <si>
    <t>Status</t>
  </si>
  <si>
    <t>City</t>
  </si>
  <si>
    <t>Total</t>
  </si>
  <si>
    <t>Month</t>
  </si>
  <si>
    <t>aaron61@yahoo.com</t>
  </si>
  <si>
    <t>Smartwatch</t>
  </si>
  <si>
    <t>Accessories</t>
  </si>
  <si>
    <t>Credit Card</t>
  </si>
  <si>
    <t>Shipped</t>
  </si>
  <si>
    <t>Tranport</t>
  </si>
  <si>
    <t>aaronsmith@yahoo.com</t>
  </si>
  <si>
    <t>Headphones</t>
  </si>
  <si>
    <t>Office</t>
  </si>
  <si>
    <t>New Kristinshire</t>
  </si>
  <si>
    <t>acharles@hotmail.com</t>
  </si>
  <si>
    <t>Webcam</t>
  </si>
  <si>
    <t>Electronics</t>
  </si>
  <si>
    <t>Pending</t>
  </si>
  <si>
    <t>Jamesfurt</t>
  </si>
  <si>
    <t>agray@gmail.com</t>
  </si>
  <si>
    <t>Keyboard</t>
  </si>
  <si>
    <t>Cancelled</t>
  </si>
  <si>
    <t>Michelleville</t>
  </si>
  <si>
    <t>alex73@schmidt.com</t>
  </si>
  <si>
    <t>Laptop</t>
  </si>
  <si>
    <t>New Brianland</t>
  </si>
  <si>
    <t>alexa24@cooper.com</t>
  </si>
  <si>
    <t>North Rickhaven</t>
  </si>
  <si>
    <t>alexandraphillips@hotmail.com</t>
  </si>
  <si>
    <t>Cash</t>
  </si>
  <si>
    <t>North Alexis</t>
  </si>
  <si>
    <t>aliciadouglas@carter.com</t>
  </si>
  <si>
    <t>Caitlinport</t>
  </si>
  <si>
    <t>aliciagreen@martinez.com</t>
  </si>
  <si>
    <t>Charger</t>
  </si>
  <si>
    <t>Longshire</t>
  </si>
  <si>
    <t>alison93@anderson.com</t>
  </si>
  <si>
    <t>USB Cable</t>
  </si>
  <si>
    <t>East Alexandraville</t>
  </si>
  <si>
    <t>allenamanda@gmail.com</t>
  </si>
  <si>
    <t>Monitor</t>
  </si>
  <si>
    <t>Lindsayton</t>
  </si>
  <si>
    <t>allisonhoward@yahoo.com</t>
  </si>
  <si>
    <t>Bennettburgh</t>
  </si>
  <si>
    <t>anasmith@gray.com</t>
  </si>
  <si>
    <t>Jessicatown</t>
  </si>
  <si>
    <t>andrea51@gutierrez-kent.com</t>
  </si>
  <si>
    <t>Speaker</t>
  </si>
  <si>
    <t>Danatown</t>
  </si>
  <si>
    <t>andreastewart@moore.com</t>
  </si>
  <si>
    <t>PayPal</t>
  </si>
  <si>
    <t>South Elizabethborough</t>
  </si>
  <si>
    <t>andrew22@freeman-weeks.com</t>
  </si>
  <si>
    <t>Port Sharonville</t>
  </si>
  <si>
    <t>andrewfuller@hotmail.com</t>
  </si>
  <si>
    <t>East Travisborough</t>
  </si>
  <si>
    <t>andrewwalsh@gmail.com</t>
  </si>
  <si>
    <t>Mouse</t>
  </si>
  <si>
    <t>New Darin</t>
  </si>
  <si>
    <t>angelacollins@stewart.com</t>
  </si>
  <si>
    <t>Lake Donna</t>
  </si>
  <si>
    <t>annabrown@small.com</t>
  </si>
  <si>
    <t>Davidmouth</t>
  </si>
  <si>
    <t>anthony76@price.com</t>
  </si>
  <si>
    <t>Kristinton</t>
  </si>
  <si>
    <t>antonio56@hotmail.com</t>
  </si>
  <si>
    <t>Tyroneton</t>
  </si>
  <si>
    <t>april55@pearson-gomez.org</t>
  </si>
  <si>
    <t>New Robertland</t>
  </si>
  <si>
    <t>arodriguez@smith-curry.com</t>
  </si>
  <si>
    <t>Tracyville</t>
  </si>
  <si>
    <t>asandoval@lewis.com</t>
  </si>
  <si>
    <t>Ryanhaven</t>
  </si>
  <si>
    <t>ashley00@reyes.info</t>
  </si>
  <si>
    <t>Thomasland</t>
  </si>
  <si>
    <t>barronlisa@stewart-nelson.com</t>
  </si>
  <si>
    <t>Lake Jeffrey</t>
  </si>
  <si>
    <t>bdavis@taylor.com</t>
  </si>
  <si>
    <t>Rileyport</t>
  </si>
  <si>
    <t>bennettkevin@blake.com</t>
  </si>
  <si>
    <t>Jimenezton</t>
  </si>
  <si>
    <t>bethany41@gmail.com</t>
  </si>
  <si>
    <t>Port Randybury</t>
  </si>
  <si>
    <t>bishopjake@yahoo.com</t>
  </si>
  <si>
    <t>South Jenniferview</t>
  </si>
  <si>
    <t>blakejackson@gmail.com</t>
  </si>
  <si>
    <t>East Heidi</t>
  </si>
  <si>
    <t>bmurphy@yahoo.com</t>
  </si>
  <si>
    <t>Joannaburgh</t>
  </si>
  <si>
    <t>brandymurphy@baker.com</t>
  </si>
  <si>
    <t>Ericstad</t>
  </si>
  <si>
    <t>brian02@miller.com</t>
  </si>
  <si>
    <t>North Thomas</t>
  </si>
  <si>
    <t>brittanydowns@holden.info</t>
  </si>
  <si>
    <t>Halechester</t>
  </si>
  <si>
    <t>browndonna@lamb.com</t>
  </si>
  <si>
    <t>Port Samanthamouth</t>
  </si>
  <si>
    <t>brownlaurie@gmail.com</t>
  </si>
  <si>
    <t>Munozstad</t>
  </si>
  <si>
    <t>buckdebra@hotmail.com</t>
  </si>
  <si>
    <t>West Danielle</t>
  </si>
  <si>
    <t>butlersusan@hubbard.org</t>
  </si>
  <si>
    <t>Pattersonchester</t>
  </si>
  <si>
    <t>byrddiana@acosta-sims.net</t>
  </si>
  <si>
    <t>Meyerside</t>
  </si>
  <si>
    <t>byrdricky@beck.com</t>
  </si>
  <si>
    <t>New Chrischester</t>
  </si>
  <si>
    <t>carrillobill@hotmail.com</t>
  </si>
  <si>
    <t>Lopeztown</t>
  </si>
  <si>
    <t>catherine30@bell.net</t>
  </si>
  <si>
    <t>West Ronnie</t>
  </si>
  <si>
    <t>catherineclark@hotmail.com</t>
  </si>
  <si>
    <t>West Daniel</t>
  </si>
  <si>
    <t>cbrown@beck.com</t>
  </si>
  <si>
    <t>Lake Emmafort</t>
  </si>
  <si>
    <t>cbrown@moore-monroe.net</t>
  </si>
  <si>
    <t>East Stacey</t>
  </si>
  <si>
    <t>ccrawford@yahoo.com</t>
  </si>
  <si>
    <t>Lake Stephanie</t>
  </si>
  <si>
    <t>cervantesjonathan@andrews-mcmahon.net</t>
  </si>
  <si>
    <t>Port Jason</t>
  </si>
  <si>
    <t>cesarwilliams@yahoo.com</t>
  </si>
  <si>
    <t>Lake Juliachester</t>
  </si>
  <si>
    <t>chad26@hurley.com</t>
  </si>
  <si>
    <t>Lunahaven</t>
  </si>
  <si>
    <t>chad81@hotmail.com</t>
  </si>
  <si>
    <t>Jessicabury</t>
  </si>
  <si>
    <t>chanjames@hotmail.com</t>
  </si>
  <si>
    <t>Adamsstad</t>
  </si>
  <si>
    <t>charlenedean@jimenez-edwards.com</t>
  </si>
  <si>
    <t>South Josephshire</t>
  </si>
  <si>
    <t>christian23@levine-johnson.com</t>
  </si>
  <si>
    <t>Boothbury</t>
  </si>
  <si>
    <t>christopher23@yahoo.com</t>
  </si>
  <si>
    <t>Lake Kyleport</t>
  </si>
  <si>
    <t>christopher75@pope.com</t>
  </si>
  <si>
    <t>New Toni</t>
  </si>
  <si>
    <t>christopher82@hotmail.com</t>
  </si>
  <si>
    <t>Johnsonbury</t>
  </si>
  <si>
    <t>cindy99@yahoo.com</t>
  </si>
  <si>
    <t>Davidport</t>
  </si>
  <si>
    <t>clarkjulia@yahoo.com</t>
  </si>
  <si>
    <t>Port Coreymouth</t>
  </si>
  <si>
    <t>colleen17@richardson.com</t>
  </si>
  <si>
    <t>West Chadmouth</t>
  </si>
  <si>
    <t>cooperdiane@johnston.com</t>
  </si>
  <si>
    <t>Craigfurt</t>
  </si>
  <si>
    <t>craig46@taylor.info</t>
  </si>
  <si>
    <t>North Ruth</t>
  </si>
  <si>
    <t>cranechad@gmail.com</t>
  </si>
  <si>
    <t>Jordanberg</t>
  </si>
  <si>
    <t>cscott@yahoo.com</t>
  </si>
  <si>
    <t>Jennaborough</t>
  </si>
  <si>
    <t>cweber@kaufman.com</t>
  </si>
  <si>
    <t>Gibbsville</t>
  </si>
  <si>
    <t>cynthia58@ferguson.info</t>
  </si>
  <si>
    <t>West Robin</t>
  </si>
  <si>
    <t>danielharris@hotmail.com</t>
  </si>
  <si>
    <t>Brennanchester</t>
  </si>
  <si>
    <t>danny76@yahoo.com</t>
  </si>
  <si>
    <t>North Stephanie</t>
  </si>
  <si>
    <t>dannygrant@hotmail.com</t>
  </si>
  <si>
    <t>Maldonadoburgh</t>
  </si>
  <si>
    <t>david31@yahoo.com</t>
  </si>
  <si>
    <t>South Timothyside</t>
  </si>
  <si>
    <t>david93@nelson-ware.com</t>
  </si>
  <si>
    <t>Debbieview</t>
  </si>
  <si>
    <t>davidfoster@gmail.com</t>
  </si>
  <si>
    <t>Lake Judyton</t>
  </si>
  <si>
    <t>deannalewis@foster.com</t>
  </si>
  <si>
    <t>Ramseyberg</t>
  </si>
  <si>
    <t>debbiebeltran@yahoo.com</t>
  </si>
  <si>
    <t>Lake Lauren</t>
  </si>
  <si>
    <t>delgadolisa@meyer-price.org</t>
  </si>
  <si>
    <t>North Timothy</t>
  </si>
  <si>
    <t>derek48@yahoo.com</t>
  </si>
  <si>
    <t>Stevenberg</t>
  </si>
  <si>
    <t>dfitzpatrick@short.com</t>
  </si>
  <si>
    <t>West Destiny</t>
  </si>
  <si>
    <t>diana66@hart.com</t>
  </si>
  <si>
    <t>East Amyhaven</t>
  </si>
  <si>
    <t>dillonmarshall@yahoo.com</t>
  </si>
  <si>
    <t>Morrowville</t>
  </si>
  <si>
    <t>dukejoseph@hotmail.com</t>
  </si>
  <si>
    <t>Mendozastad</t>
  </si>
  <si>
    <t>dyoung@stokes.com</t>
  </si>
  <si>
    <t>West Scottville</t>
  </si>
  <si>
    <t>ebryant@martinez.com</t>
  </si>
  <si>
    <t>Moodyhaven</t>
  </si>
  <si>
    <t>ejones@calderon.com</t>
  </si>
  <si>
    <t>Mccluretown</t>
  </si>
  <si>
    <t>elizabethhughes@joseph.com</t>
  </si>
  <si>
    <t>Flynnshire</t>
  </si>
  <si>
    <t>eric77@gmail.com</t>
  </si>
  <si>
    <t>West Maureen</t>
  </si>
  <si>
    <t>escobarclaudia@simmons-morgan.com</t>
  </si>
  <si>
    <t>North Tammychester</t>
  </si>
  <si>
    <t>espinozamaria@lewis.com</t>
  </si>
  <si>
    <t>West Kayla</t>
  </si>
  <si>
    <t>fhodge@yahoo.com</t>
  </si>
  <si>
    <t>Woodsborough</t>
  </si>
  <si>
    <t>figueroadavid@taylor-lee.biz</t>
  </si>
  <si>
    <t>Nealport</t>
  </si>
  <si>
    <t>fitzpatrickjon@yahoo.com</t>
  </si>
  <si>
    <t>Elizabethborough</t>
  </si>
  <si>
    <t>fjohnson@hotmail.com</t>
  </si>
  <si>
    <t>Luischester</t>
  </si>
  <si>
    <t>flewis@kim-molina.com</t>
  </si>
  <si>
    <t>Franklinberg</t>
  </si>
  <si>
    <t>floreswilliam@dawson-moses.biz</t>
  </si>
  <si>
    <t>Harveyville</t>
  </si>
  <si>
    <t>fowlerjeff@knapp-thompson.biz</t>
  </si>
  <si>
    <t>North Williamside</t>
  </si>
  <si>
    <t>fowlerkathleen@sanchez.net</t>
  </si>
  <si>
    <t>Stephanieborough</t>
  </si>
  <si>
    <t>fperez@yahoo.com</t>
  </si>
  <si>
    <t>Port Justinside</t>
  </si>
  <si>
    <t>frank54@smith-reid.com</t>
  </si>
  <si>
    <t>Stephenborough</t>
  </si>
  <si>
    <t>gamblelauren@gmail.com</t>
  </si>
  <si>
    <t>Lake Tonya</t>
  </si>
  <si>
    <t>gbeasley@hotmail.com</t>
  </si>
  <si>
    <t>Marcustown</t>
  </si>
  <si>
    <t>gcarter@larson.com</t>
  </si>
  <si>
    <t>North Shannon</t>
  </si>
  <si>
    <t>gibbsamber@walker.com</t>
  </si>
  <si>
    <t>Colemanbury</t>
  </si>
  <si>
    <t>gonzalezgary@gmail.com</t>
  </si>
  <si>
    <t>Christopherburgh</t>
  </si>
  <si>
    <t>goodmanlisa@hardy-patterson.com</t>
  </si>
  <si>
    <t>Carterville</t>
  </si>
  <si>
    <t>greenglenn@mills.com</t>
  </si>
  <si>
    <t>Lake Amandamouth</t>
  </si>
  <si>
    <t>gwallace@barr.com</t>
  </si>
  <si>
    <t>Lake Christianhaven</t>
  </si>
  <si>
    <t>haleybyrd@gmail.com</t>
  </si>
  <si>
    <t>Markton</t>
  </si>
  <si>
    <t>hcollier@gmail.com</t>
  </si>
  <si>
    <t>Foxburgh</t>
  </si>
  <si>
    <t>hcooper@gmail.com</t>
  </si>
  <si>
    <t>South Joseph</t>
  </si>
  <si>
    <t>heathnatalie@lewis-stevens.com</t>
  </si>
  <si>
    <t>Lake Catherineview</t>
  </si>
  <si>
    <t>hensleybrittany@hotmail.com</t>
  </si>
  <si>
    <t>Shieldsmouth</t>
  </si>
  <si>
    <t>hilllatoya@hotmail.com</t>
  </si>
  <si>
    <t>South Catherineland</t>
  </si>
  <si>
    <t>holly86@sutton.com</t>
  </si>
  <si>
    <t>South Diane</t>
  </si>
  <si>
    <t>howardshelton@roth.com</t>
  </si>
  <si>
    <t>Ralphfort</t>
  </si>
  <si>
    <t>huffmanpamela@hotmail.com</t>
  </si>
  <si>
    <t>Olsonville</t>
  </si>
  <si>
    <t>ibarraharold@dawson.info</t>
  </si>
  <si>
    <t>Stephaniechester</t>
  </si>
  <si>
    <t>iflores@aguilar.com</t>
  </si>
  <si>
    <t>Edwinberg</t>
  </si>
  <si>
    <t>igill@hotmail.com</t>
  </si>
  <si>
    <t>Stevenmouth</t>
  </si>
  <si>
    <t>ikelly@gmail.com</t>
  </si>
  <si>
    <t>North Tiffanyside</t>
  </si>
  <si>
    <t>jacksonkatie@lambert-reid.org</t>
  </si>
  <si>
    <t>East Annashire</t>
  </si>
  <si>
    <t>jacob08@barrett.info</t>
  </si>
  <si>
    <t>Perrymouth</t>
  </si>
  <si>
    <t>jacob74@peters.com</t>
  </si>
  <si>
    <t>Lake Eddie</t>
  </si>
  <si>
    <t>jaime65@yahoo.com</t>
  </si>
  <si>
    <t>Chambersville</t>
  </si>
  <si>
    <t>janet85@yahoo.com</t>
  </si>
  <si>
    <t>Lake Daniel</t>
  </si>
  <si>
    <t>jason41@page-brooks.biz</t>
  </si>
  <si>
    <t>South Lindsey</t>
  </si>
  <si>
    <t>jasonfernandez@yahoo.com</t>
  </si>
  <si>
    <t>Karenburgh</t>
  </si>
  <si>
    <t>jeffrey30@yahoo.com</t>
  </si>
  <si>
    <t>Stewartburgh</t>
  </si>
  <si>
    <t>jenkinsjennifer@evans-lewis.com</t>
  </si>
  <si>
    <t>Ortizfurt</t>
  </si>
  <si>
    <t>jennifer46@gmail.com</t>
  </si>
  <si>
    <t>Lake Julie</t>
  </si>
  <si>
    <t>jennifer75@yahoo.com</t>
  </si>
  <si>
    <t>Annestad</t>
  </si>
  <si>
    <t>jenniferjimenez@johnson-rivas.com</t>
  </si>
  <si>
    <t>Murphystad</t>
  </si>
  <si>
    <t>jeremy98@hotmail.com</t>
  </si>
  <si>
    <t>Dorisland</t>
  </si>
  <si>
    <t>jermainegreer@hotmail.com</t>
  </si>
  <si>
    <t>Lake Lisaborough</t>
  </si>
  <si>
    <t>jerry70@nielsen-williams.net</t>
  </si>
  <si>
    <t>Lake Bryan</t>
  </si>
  <si>
    <t>jesseberg@oneal.com</t>
  </si>
  <si>
    <t>North Theresaview</t>
  </si>
  <si>
    <t>jessicamejia@yahoo.com</t>
  </si>
  <si>
    <t>Port Elijahville</t>
  </si>
  <si>
    <t>jgreer@yahoo.com</t>
  </si>
  <si>
    <t>North Jennifer</t>
  </si>
  <si>
    <t>jlewis@cherry-harvey.com</t>
  </si>
  <si>
    <t>Amybury</t>
  </si>
  <si>
    <t>johncross@anderson.com</t>
  </si>
  <si>
    <t>South Yvonneland</t>
  </si>
  <si>
    <t>johnhughes@yahoo.com</t>
  </si>
  <si>
    <t>johnsonstephanie@hotmail.com</t>
  </si>
  <si>
    <t>Longburgh</t>
  </si>
  <si>
    <t>johnwilliams@hernandez.com</t>
  </si>
  <si>
    <t>Lake Alicia</t>
  </si>
  <si>
    <t>johnwilliams@moore-cruz.info</t>
  </si>
  <si>
    <t>Sullivanport</t>
  </si>
  <si>
    <t>jonesbrandon@gmail.com</t>
  </si>
  <si>
    <t>Sawyerberg</t>
  </si>
  <si>
    <t>joseph89@yahoo.com</t>
  </si>
  <si>
    <t>Lisahaven</t>
  </si>
  <si>
    <t>josephhart@gmail.com</t>
  </si>
  <si>
    <t>Lake Stacey</t>
  </si>
  <si>
    <t>joshua30@harris.com</t>
  </si>
  <si>
    <t>New Stephanie</t>
  </si>
  <si>
    <t>joshuapowers@sawyer-reed.net</t>
  </si>
  <si>
    <t>Jeffreyshire</t>
  </si>
  <si>
    <t>joyzamora@yahoo.com</t>
  </si>
  <si>
    <t>Rogersberg</t>
  </si>
  <si>
    <t>juliachase@hotmail.com</t>
  </si>
  <si>
    <t>Port Colleen</t>
  </si>
  <si>
    <t>justinstafford@lee.biz</t>
  </si>
  <si>
    <t>Port Ashleymouth</t>
  </si>
  <si>
    <t>kaitlyn73@yahoo.com</t>
  </si>
  <si>
    <t>Lake Heatherport</t>
  </si>
  <si>
    <t>katherine43@gmail.com</t>
  </si>
  <si>
    <t>New Davidberg</t>
  </si>
  <si>
    <t>kelly28@gmail.com</t>
  </si>
  <si>
    <t>South Johnchester</t>
  </si>
  <si>
    <t>kellycoleman@coleman.com</t>
  </si>
  <si>
    <t>Port Melissaview</t>
  </si>
  <si>
    <t>kelseyowens@yahoo.com</t>
  </si>
  <si>
    <t>Markborough</t>
  </si>
  <si>
    <t>kentlisa@gmail.com</t>
  </si>
  <si>
    <t>Traceybury</t>
  </si>
  <si>
    <t>kim28@bishop.com</t>
  </si>
  <si>
    <t>Julianland</t>
  </si>
  <si>
    <t>kimberlyconley@johnston.org</t>
  </si>
  <si>
    <t>Huntmouth</t>
  </si>
  <si>
    <t>klarson@gmail.com</t>
  </si>
  <si>
    <t>North Rogerland</t>
  </si>
  <si>
    <t>knoxjohn@price-lane.biz</t>
  </si>
  <si>
    <t>Lake Jamieborough</t>
  </si>
  <si>
    <t>kristen80@bridges.com</t>
  </si>
  <si>
    <t>New Toddport</t>
  </si>
  <si>
    <t>krobertson@nelson.biz</t>
  </si>
  <si>
    <t>New Pamelaton</t>
  </si>
  <si>
    <t>krush@hotmail.com</t>
  </si>
  <si>
    <t>Lake David</t>
  </si>
  <si>
    <t>kspence@austin.net</t>
  </si>
  <si>
    <t>Francisport</t>
  </si>
  <si>
    <t>kyle40@kim.net</t>
  </si>
  <si>
    <t>Robertsstad</t>
  </si>
  <si>
    <t>lanceacevedo@delacruz.com</t>
  </si>
  <si>
    <t>Glovermouth</t>
  </si>
  <si>
    <t>larryfowler@gmail.com</t>
  </si>
  <si>
    <t>West Karen</t>
  </si>
  <si>
    <t>lauradominguez@perkins.com</t>
  </si>
  <si>
    <t>East Adam</t>
  </si>
  <si>
    <t>lee69@hotmail.com</t>
  </si>
  <si>
    <t>Ramirezfurt</t>
  </si>
  <si>
    <t>liclayton@johnson.com</t>
  </si>
  <si>
    <t>Richardston</t>
  </si>
  <si>
    <t>lisa43@yahoo.com</t>
  </si>
  <si>
    <t>Ericton</t>
  </si>
  <si>
    <t>lisa78@yahoo.com</t>
  </si>
  <si>
    <t>West Katrinastad</t>
  </si>
  <si>
    <t>lisa83@wright-cardenas.com</t>
  </si>
  <si>
    <t>Sandratown</t>
  </si>
  <si>
    <t>lisamahoney@hotmail.com</t>
  </si>
  <si>
    <t>Jeffreymouth</t>
  </si>
  <si>
    <t>lisawiley@hotmail.com</t>
  </si>
  <si>
    <t>Pollardborough</t>
  </si>
  <si>
    <t>llopez@cuevas-henson.com</t>
  </si>
  <si>
    <t>Fryehaven</t>
  </si>
  <si>
    <t>lmorales@stephens.com</t>
  </si>
  <si>
    <t>East Zachary</t>
  </si>
  <si>
    <t>lopezjoseph@yahoo.com</t>
  </si>
  <si>
    <t>Jaimeberg</t>
  </si>
  <si>
    <t>marcusrivera@brandt.com</t>
  </si>
  <si>
    <t>Port Joshua</t>
  </si>
  <si>
    <t>mariahwaller@gmail.com</t>
  </si>
  <si>
    <t>Lewisfort</t>
  </si>
  <si>
    <t>mariakrueger@gmail.com</t>
  </si>
  <si>
    <t>Wrighthaven</t>
  </si>
  <si>
    <t>marilynaguirre@gmail.com</t>
  </si>
  <si>
    <t>Josephhaven</t>
  </si>
  <si>
    <t>mark30@hotmail.com</t>
  </si>
  <si>
    <t>Melendezfort</t>
  </si>
  <si>
    <t>markcastillo@yahoo.com</t>
  </si>
  <si>
    <t>Franklinhaven</t>
  </si>
  <si>
    <t>marshallvirginia@gmail.com</t>
  </si>
  <si>
    <t>Alexanderfort</t>
  </si>
  <si>
    <t>martinbryce@gmail.com</t>
  </si>
  <si>
    <t>West Derek</t>
  </si>
  <si>
    <t>martineznicholas@gmail.com</t>
  </si>
  <si>
    <t>West Sophia</t>
  </si>
  <si>
    <t>matthew32@yahoo.com</t>
  </si>
  <si>
    <t>West Angelafurt</t>
  </si>
  <si>
    <t>matthewhayes@gmail.com</t>
  </si>
  <si>
    <t>Port Gregory</t>
  </si>
  <si>
    <t>mbrown@yahoo.com</t>
  </si>
  <si>
    <t>Robertborough</t>
  </si>
  <si>
    <t>mcmahonsteven@hotmail.com</t>
  </si>
  <si>
    <t>East Kennethstad</t>
  </si>
  <si>
    <t>meganramirez@romero.com</t>
  </si>
  <si>
    <t>Shaneberg</t>
  </si>
  <si>
    <t>meghan67@gmail.com</t>
  </si>
  <si>
    <t>Port Josephhaven</t>
  </si>
  <si>
    <t>melissameyer@thomas-meyer.net</t>
  </si>
  <si>
    <t>New Tracy</t>
  </si>
  <si>
    <t>meyerscharles@yahoo.com</t>
  </si>
  <si>
    <t>North Nancy</t>
  </si>
  <si>
    <t>mharrison@yahoo.com</t>
  </si>
  <si>
    <t>New Chelsea</t>
  </si>
  <si>
    <t>mhill@cooper.net</t>
  </si>
  <si>
    <t>Hollystad</t>
  </si>
  <si>
    <t>michael25@yahoo.com</t>
  </si>
  <si>
    <t>Port Tiffanytown</t>
  </si>
  <si>
    <t>michael83@hotmail.com</t>
  </si>
  <si>
    <t>Jamestown</t>
  </si>
  <si>
    <t>michele60@garza.com</t>
  </si>
  <si>
    <t>Nelsonfurt</t>
  </si>
  <si>
    <t>michelegarcia@hotmail.com</t>
  </si>
  <si>
    <t>Markhaven</t>
  </si>
  <si>
    <t>mike73@nelson.com</t>
  </si>
  <si>
    <t>Cynthiamouth</t>
  </si>
  <si>
    <t>mjoyce@yahoo.com</t>
  </si>
  <si>
    <t>South Helen</t>
  </si>
  <si>
    <t>moonshelley@gmail.com</t>
  </si>
  <si>
    <t>moralesdiane@russell.com</t>
  </si>
  <si>
    <t>Port Davidmouth</t>
  </si>
  <si>
    <t>morgan76@rogers.com</t>
  </si>
  <si>
    <t>Kevinville</t>
  </si>
  <si>
    <t>mortoncassidy@brown.com</t>
  </si>
  <si>
    <t>Lake Tracey</t>
  </si>
  <si>
    <t>msellers@hotmail.com</t>
  </si>
  <si>
    <t>New Coltonfurt</t>
  </si>
  <si>
    <t>msmith@hotmail.com</t>
  </si>
  <si>
    <t>New Ericbury</t>
  </si>
  <si>
    <t>natalie92@hotmail.com</t>
  </si>
  <si>
    <t>Fletcherside</t>
  </si>
  <si>
    <t>natasha83@yahoo.com</t>
  </si>
  <si>
    <t>Johnmouth</t>
  </si>
  <si>
    <t>nicholejohnson@yahoo.com</t>
  </si>
  <si>
    <t>South Mallory</t>
  </si>
  <si>
    <t>nturner@york-allison.com</t>
  </si>
  <si>
    <t>Shelleyberg</t>
  </si>
  <si>
    <t>nvaughn@hotmail.com</t>
  </si>
  <si>
    <t>Dorothyshire</t>
  </si>
  <si>
    <t>ocervantes@gmail.com</t>
  </si>
  <si>
    <t>Lake Leonard</t>
  </si>
  <si>
    <t>ochen@yahoo.com</t>
  </si>
  <si>
    <t>Destinyborough</t>
  </si>
  <si>
    <t>ofoster@hall.biz</t>
  </si>
  <si>
    <t>Butlerville</t>
  </si>
  <si>
    <t>oliverkevin@bond-fox.net</t>
  </si>
  <si>
    <t>Smithview</t>
  </si>
  <si>
    <t>owensjasmine@yahoo.com</t>
  </si>
  <si>
    <t>Maynardtown</t>
  </si>
  <si>
    <t>owilliams@hotmail.com</t>
  </si>
  <si>
    <t>Port Jonhaven</t>
  </si>
  <si>
    <t>paul14@hamilton.biz</t>
  </si>
  <si>
    <t>Gutierrezton</t>
  </si>
  <si>
    <t>penacheryl@gmail.com</t>
  </si>
  <si>
    <t>Ashleystad</t>
  </si>
  <si>
    <t>penasara@yahoo.com</t>
  </si>
  <si>
    <t>North Sharonmouth</t>
  </si>
  <si>
    <t>pennynelson@gmail.com</t>
  </si>
  <si>
    <t>North Victorville</t>
  </si>
  <si>
    <t>perkinsdiana@figueroa.info</t>
  </si>
  <si>
    <t>Kaitlinberg</t>
  </si>
  <si>
    <t>perrytara@baker-nelson.com</t>
  </si>
  <si>
    <t>Port Nicolebury</t>
  </si>
  <si>
    <t>plewis@yahoo.com</t>
  </si>
  <si>
    <t>South Lanceborough</t>
  </si>
  <si>
    <t>qharper@gmail.com</t>
  </si>
  <si>
    <t>Taylorland</t>
  </si>
  <si>
    <t>qwilson@powell.net</t>
  </si>
  <si>
    <t>Amyburgh</t>
  </si>
  <si>
    <t>raymondnicole@munoz.biz</t>
  </si>
  <si>
    <t>Jasonmouth</t>
  </si>
  <si>
    <t>rberry@hotmail.com</t>
  </si>
  <si>
    <t>Larryberg</t>
  </si>
  <si>
    <t>reedlinda@moore.com</t>
  </si>
  <si>
    <t>Martinside</t>
  </si>
  <si>
    <t>rgarcia@hotmail.com</t>
  </si>
  <si>
    <t>New Rick</t>
  </si>
  <si>
    <t>richard61@hotmail.com</t>
  </si>
  <si>
    <t>Lake Davidbury</t>
  </si>
  <si>
    <t>richard78@tate-oconnor.com</t>
  </si>
  <si>
    <t>Gavinton</t>
  </si>
  <si>
    <t>richard82@navarro.com</t>
  </si>
  <si>
    <t>Ortiztown</t>
  </si>
  <si>
    <t>richardrogers@hotmail.com</t>
  </si>
  <si>
    <t>Lake Rebekahville</t>
  </si>
  <si>
    <t>riverasarah@yahoo.com</t>
  </si>
  <si>
    <t>West Kristenside</t>
  </si>
  <si>
    <t>robert13@yahoo.com</t>
  </si>
  <si>
    <t>East Davidfort</t>
  </si>
  <si>
    <t>robert29@blankenship.net</t>
  </si>
  <si>
    <t>Bennettstad</t>
  </si>
  <si>
    <t>robert86@garcia.biz</t>
  </si>
  <si>
    <t>South Deanna</t>
  </si>
  <si>
    <t>robertsanford@white-nichols.net</t>
  </si>
  <si>
    <t>South Jacob</t>
  </si>
  <si>
    <t>rodriguezgabriella@hotmail.com</t>
  </si>
  <si>
    <t>Genefort</t>
  </si>
  <si>
    <t>rwilliams@gmail.com</t>
  </si>
  <si>
    <t>New Ann</t>
  </si>
  <si>
    <t>ryan27@yahoo.com</t>
  </si>
  <si>
    <t>East Jenniferport</t>
  </si>
  <si>
    <t>ryangraham@yahoo.com</t>
  </si>
  <si>
    <t>Randychester</t>
  </si>
  <si>
    <t>ryanmelissa@hotmail.com</t>
  </si>
  <si>
    <t>Coreychester</t>
  </si>
  <si>
    <t>sbrown@hotmail.com</t>
  </si>
  <si>
    <t>Toddview</t>
  </si>
  <si>
    <t>schmidtmelissa@gmail.com</t>
  </si>
  <si>
    <t>East Katrinamouth</t>
  </si>
  <si>
    <t>scott06@yahoo.com</t>
  </si>
  <si>
    <t>scott08@miller.com</t>
  </si>
  <si>
    <t>Hudsonhaven</t>
  </si>
  <si>
    <t>scott90@young-douglas.org</t>
  </si>
  <si>
    <t>Jorgechester</t>
  </si>
  <si>
    <t>scottcolin@gmail.com</t>
  </si>
  <si>
    <t>Michaelstad</t>
  </si>
  <si>
    <t>scottkelsey@watkins.com</t>
  </si>
  <si>
    <t>Lake Ann</t>
  </si>
  <si>
    <t>shawn18@gmail.com</t>
  </si>
  <si>
    <t>Port Christopherport</t>
  </si>
  <si>
    <t>sheila17@scott.com</t>
  </si>
  <si>
    <t>South Chris</t>
  </si>
  <si>
    <t>sheila94@hotmail.com</t>
  </si>
  <si>
    <t>South Patrickshire</t>
  </si>
  <si>
    <t>shelley54@lyons-perkins.com</t>
  </si>
  <si>
    <t>Port Danport</t>
  </si>
  <si>
    <t>shirleyhubbard@rodgers-bennett.com</t>
  </si>
  <si>
    <t>Wendyborough</t>
  </si>
  <si>
    <t>simmonsandre@hotmail.com</t>
  </si>
  <si>
    <t>Port Jamie</t>
  </si>
  <si>
    <t>sjackson@cook-patel.com</t>
  </si>
  <si>
    <t>Carolside</t>
  </si>
  <si>
    <t>sjenkins@gmail.com</t>
  </si>
  <si>
    <t>New Crystal</t>
  </si>
  <si>
    <t>slane@lambert.com</t>
  </si>
  <si>
    <t>Port Thomasstad</t>
  </si>
  <si>
    <t>smalldenise@barrera.net</t>
  </si>
  <si>
    <t>East Michaelborough</t>
  </si>
  <si>
    <t>smcgee@diaz-sanchez.com</t>
  </si>
  <si>
    <t>Port Alexchester</t>
  </si>
  <si>
    <t>smithdaniel@jones.com</t>
  </si>
  <si>
    <t>Breannaport</t>
  </si>
  <si>
    <t>sphillips@yahoo.com</t>
  </si>
  <si>
    <t>Stevenview</t>
  </si>
  <si>
    <t>ssimpson@yahoo.com</t>
  </si>
  <si>
    <t>East Patrick</t>
  </si>
  <si>
    <t>starkstacey@brown.com</t>
  </si>
  <si>
    <t>North Karen</t>
  </si>
  <si>
    <t>stephanie06@yahoo.com</t>
  </si>
  <si>
    <t>South Lisa</t>
  </si>
  <si>
    <t>stephanie91@brown-shah.biz</t>
  </si>
  <si>
    <t>Ramirezshire</t>
  </si>
  <si>
    <t>stephenharris@smith-moore.net</t>
  </si>
  <si>
    <t>North Kathleentown</t>
  </si>
  <si>
    <t>steven33@williams.com</t>
  </si>
  <si>
    <t>Mariaberg</t>
  </si>
  <si>
    <t>steven88@hotmail.com</t>
  </si>
  <si>
    <t>Careyshire</t>
  </si>
  <si>
    <t>stewartbeth@yahoo.com</t>
  </si>
  <si>
    <t>Lake Lori</t>
  </si>
  <si>
    <t>susanmendoza@gmail.com</t>
  </si>
  <si>
    <t>Turnerfurt</t>
  </si>
  <si>
    <t>taylor42@rogers-carpenter.biz</t>
  </si>
  <si>
    <t>Harringtonport</t>
  </si>
  <si>
    <t>tcarroll@gmail.com</t>
  </si>
  <si>
    <t>Port Anthony</t>
  </si>
  <si>
    <t>thomas97@gmail.com</t>
  </si>
  <si>
    <t>West Samanthachester</t>
  </si>
  <si>
    <t>thomasjoyce@yahoo.com</t>
  </si>
  <si>
    <t>Lake Dianeport</t>
  </si>
  <si>
    <t>thomassmith@gmail.com</t>
  </si>
  <si>
    <t>North Michael</t>
  </si>
  <si>
    <t>timothynewman@hotmail.com</t>
  </si>
  <si>
    <t>Hardinville</t>
  </si>
  <si>
    <t>tracybrown@osborne.com</t>
  </si>
  <si>
    <t>Smithshire</t>
  </si>
  <si>
    <t>travisweber@arnold-leblanc.biz</t>
  </si>
  <si>
    <t>New Brenda</t>
  </si>
  <si>
    <t>tyrone55@hotmail.com</t>
  </si>
  <si>
    <t>Phillipsfort</t>
  </si>
  <si>
    <t>uallen@hotmail.com</t>
  </si>
  <si>
    <t>Robertsville</t>
  </si>
  <si>
    <t>ujames@acosta-johnson.com</t>
  </si>
  <si>
    <t>South Toni</t>
  </si>
  <si>
    <t>upayne@gmail.com</t>
  </si>
  <si>
    <t>North Joshua</t>
  </si>
  <si>
    <t>usanders@baker.com</t>
  </si>
  <si>
    <t>Sawyerborough</t>
  </si>
  <si>
    <t>uwalker@smith.com</t>
  </si>
  <si>
    <t>South Charles</t>
  </si>
  <si>
    <t>uwolf@gmail.com</t>
  </si>
  <si>
    <t>Johnstad</t>
  </si>
  <si>
    <t>veronica85@yahoo.com</t>
  </si>
  <si>
    <t>North Jenniferberg</t>
  </si>
  <si>
    <t>victoriasutton@yahoo.com</t>
  </si>
  <si>
    <t>Port Thomas</t>
  </si>
  <si>
    <t>vmorton@gmail.com</t>
  </si>
  <si>
    <t>West Michael</t>
  </si>
  <si>
    <t>vrios@yahoo.com</t>
  </si>
  <si>
    <t>Martintown</t>
  </si>
  <si>
    <t>vryan@hotmail.com</t>
  </si>
  <si>
    <t>Nathanton</t>
  </si>
  <si>
    <t>wardheather@yahoo.com</t>
  </si>
  <si>
    <t>West Sara</t>
  </si>
  <si>
    <t>watsonian@hotmail.com</t>
  </si>
  <si>
    <t>Ronaldside</t>
  </si>
  <si>
    <t>wbrown@yahoo.com</t>
  </si>
  <si>
    <t>Matthewport</t>
  </si>
  <si>
    <t>william38@campos.com</t>
  </si>
  <si>
    <t>Whiteburgh</t>
  </si>
  <si>
    <t>williamsonjanice@hotmail.com</t>
  </si>
  <si>
    <t>Hernandezland</t>
  </si>
  <si>
    <t>wilsoncrystal@camacho-rodriguez.com</t>
  </si>
  <si>
    <t>Austinland</t>
  </si>
  <si>
    <t>wilsonjohn@gmail.com</t>
  </si>
  <si>
    <t>Tonyfort</t>
  </si>
  <si>
    <t>wjones@bell.net</t>
  </si>
  <si>
    <t>Stacieton</t>
  </si>
  <si>
    <t>wmoran@anderson-moore.com</t>
  </si>
  <si>
    <t>New Victor</t>
  </si>
  <si>
    <t>wonghayley@hotmail.com</t>
  </si>
  <si>
    <t>Andreton</t>
  </si>
  <si>
    <t>xcastro@hotmail.com</t>
  </si>
  <si>
    <t>Port Phyllisfurt</t>
  </si>
  <si>
    <t>xgonzalez@scott.info</t>
  </si>
  <si>
    <t>Ronaldchester</t>
  </si>
  <si>
    <t>xmartinez@gmail.com</t>
  </si>
  <si>
    <t>Lake Laura</t>
  </si>
  <si>
    <t>xreed@gmail.com</t>
  </si>
  <si>
    <t>North Andrehaven</t>
  </si>
  <si>
    <t>yanglorraine@yahoo.com</t>
  </si>
  <si>
    <t>East Pamela</t>
  </si>
  <si>
    <t>ylindsey@hotmail.com</t>
  </si>
  <si>
    <t>Whitebury</t>
  </si>
  <si>
    <t>ymiller@davis.com</t>
  </si>
  <si>
    <t>South Billy</t>
  </si>
  <si>
    <t>yolson@gmail.com</t>
  </si>
  <si>
    <t>North Jessicaside</t>
  </si>
  <si>
    <t>yreed@gmail.com</t>
  </si>
  <si>
    <t>Michaelchester</t>
  </si>
  <si>
    <t>yvonne02@gmail.com</t>
  </si>
  <si>
    <t>North Peggy</t>
  </si>
  <si>
    <t>zhahn@miller-riley.biz</t>
  </si>
  <si>
    <t>Owensshire</t>
  </si>
  <si>
    <t>zmitchell@swanson.com</t>
  </si>
  <si>
    <t>Karenmouth</t>
  </si>
  <si>
    <t>sumif</t>
  </si>
  <si>
    <t>sumifs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</si>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</sst>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7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0" applyNumberForma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0" applyNumberFormat="1" applyBorder="1"/>
    <xf numFmtId="0" fontId="3" fillId="0" borderId="5" xfId="2" applyBorder="1" applyAlignment="1">
      <alignment horizontal="center" vertical="center"/>
    </xf>
    <xf numFmtId="44" fontId="4" fillId="4" borderId="5" xfId="1" applyFont="1" applyFill="1" applyBorder="1"/>
    <xf numFmtId="0" fontId="4" fillId="4" borderId="5" xfId="0" applyFont="1" applyFill="1" applyBorder="1"/>
    <xf numFmtId="0" fontId="4" fillId="5" borderId="5" xfId="0" applyFont="1" applyFill="1" applyBorder="1"/>
    <xf numFmtId="44" fontId="4" fillId="5" borderId="5" xfId="1" applyFont="1" applyFill="1" applyBorder="1"/>
    <xf numFmtId="0" fontId="4" fillId="3" borderId="5" xfId="0" applyFont="1" applyFill="1" applyBorder="1"/>
    <xf numFmtId="0" fontId="5" fillId="3" borderId="5" xfId="0" applyFont="1" applyFill="1" applyBorder="1" applyAlignment="1">
      <alignment horizontal="center"/>
    </xf>
    <xf numFmtId="0" fontId="5" fillId="6" borderId="5" xfId="0" applyFont="1" applyFill="1" applyBorder="1"/>
    <xf numFmtId="0" fontId="5" fillId="7" borderId="5" xfId="0" applyFont="1" applyFill="1" applyBorder="1"/>
    <xf numFmtId="44" fontId="0" fillId="0" borderId="5" xfId="1" applyFont="1" applyBorder="1"/>
    <xf numFmtId="0" fontId="4" fillId="6" borderId="5" xfId="0" applyFont="1" applyFill="1" applyBorder="1" applyAlignment="1">
      <alignment horizontal="center"/>
    </xf>
    <xf numFmtId="0" fontId="0" fillId="8" borderId="0" xfId="0" applyFill="1"/>
  </cellXfs>
  <cellStyles count="3">
    <cellStyle name="Currency" xfId="1" builtinId="4"/>
    <cellStyle name="Hyperlink" xfId="2" builtinId="8"/>
    <cellStyle name="Normal" xfId="0" builtinId="0"/>
  </cellStyles>
  <dxfs count="2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57536-C7FA-4EF5-ACA9-6AB551EB8E71}" name="Table1" displayName="Table1" ref="A1:L321" headerRowDxfId="28" dataDxfId="26" headerRowBorderDxfId="27" tableBorderDxfId="25" totalsRowBorderDxfId="24">
  <autoFilter ref="A1:L321" xr:uid="{96F57536-C7FA-4EF5-ACA9-6AB551EB8E71}"/>
  <sortState xmlns:xlrd2="http://schemas.microsoft.com/office/spreadsheetml/2017/richdata2" ref="A2:L321">
    <sortCondition ref="B1:B321"/>
  </sortState>
  <tableColumns count="12">
    <tableColumn id="1" xr3:uid="{816F9993-0BFD-457D-A1DA-CEE79571E1ED}" name="Order ID" totalsRowLabel="Total" dataDxfId="23" totalsRowDxfId="22"/>
    <tableColumn id="2" xr3:uid="{F645AFC7-0D99-40A0-9FFB-9E67379635A6}" name="Date" dataDxfId="21" totalsRowDxfId="20"/>
    <tableColumn id="3" xr3:uid="{6AC0A996-1C74-4032-8DAA-14BCFBC9675B}" name="Customer Email" dataDxfId="19" totalsRowDxfId="18"/>
    <tableColumn id="4" xr3:uid="{33FD8658-B728-4A08-866D-4E4A2671E529}" name="Product" dataDxfId="17" totalsRowDxfId="16"/>
    <tableColumn id="5" xr3:uid="{962614EF-7D4E-41A3-AC34-CD44AC7CA3C9}" name="Category" dataDxfId="15" totalsRowDxfId="14"/>
    <tableColumn id="6" xr3:uid="{49872870-50CE-41F9-9012-2E7E3A166B44}" name="Quantity" dataDxfId="13" totalsRowDxfId="12"/>
    <tableColumn id="7" xr3:uid="{FB270F6B-D793-43C2-A93F-7198BE5D9E32}" name="Unit Price" dataDxfId="11" totalsRowDxfId="10" dataCellStyle="Currency"/>
    <tableColumn id="8" xr3:uid="{F71EEA18-3974-4CEB-982D-2FAF7C66D4FF}" name="Payment Method" dataDxfId="9" totalsRowDxfId="8"/>
    <tableColumn id="9" xr3:uid="{FF1D6AE2-81CE-460C-91A0-05DEA2A3B77C}" name="Status" dataDxfId="7" totalsRowDxfId="6"/>
    <tableColumn id="10" xr3:uid="{D180BDC3-7505-4A7D-9BDB-EB41C10C6626}" name="City" dataDxfId="5" totalsRowDxfId="4"/>
    <tableColumn id="11" xr3:uid="{0C514473-D5B7-4AC8-90FC-226E1791076F}" name="Total" totalsRowFunction="sum" dataDxfId="3" totalsRowDxfId="2"/>
    <tableColumn id="12" xr3:uid="{4279E49C-4456-4680-BBB2-A01A183D6CCF}" name="Month" dataDxfId="1" totalsRowDxfId="0">
      <calculatedColumnFormula>TEXT(Table1[[#This Row],[Date]],"MMM"&amp;" yyy")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ciagreen@martin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9341-19B6-42CF-9623-46A1408F3FD9}">
  <dimension ref="A1:L321"/>
  <sheetViews>
    <sheetView workbookViewId="0">
      <selection activeCell="L1" sqref="L1:L321"/>
    </sheetView>
  </sheetViews>
  <sheetFormatPr defaultRowHeight="14.4" x14ac:dyDescent="0.3"/>
  <cols>
    <col min="1" max="1" width="7.6640625" bestFit="1" customWidth="1"/>
    <col min="2" max="2" width="9.109375" bestFit="1" customWidth="1"/>
    <col min="3" max="3" width="36.77734375" bestFit="1" customWidth="1"/>
    <col min="4" max="4" width="11" bestFit="1" customWidth="1"/>
    <col min="5" max="5" width="10.77734375" bestFit="1" customWidth="1"/>
    <col min="6" max="6" width="8" bestFit="1" customWidth="1"/>
    <col min="7" max="7" width="10.21875" bestFit="1" customWidth="1"/>
    <col min="8" max="8" width="14.88671875" bestFit="1" customWidth="1"/>
    <col min="9" max="9" width="9" bestFit="1" customWidth="1"/>
    <col min="10" max="10" width="19.88671875" bestFit="1" customWidth="1"/>
    <col min="11" max="11" width="8.6640625" bestFit="1" customWidth="1"/>
    <col min="12" max="12" width="8.441406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</row>
    <row r="2" spans="1:12" x14ac:dyDescent="0.3">
      <c r="A2" s="5">
        <v>1204</v>
      </c>
      <c r="B2" s="6">
        <v>45664</v>
      </c>
      <c r="C2" s="7" t="s">
        <v>193</v>
      </c>
      <c r="D2" s="7" t="s">
        <v>55</v>
      </c>
      <c r="E2" s="7" t="s">
        <v>14</v>
      </c>
      <c r="F2" s="7">
        <v>3</v>
      </c>
      <c r="G2" s="8">
        <v>3918.42</v>
      </c>
      <c r="H2" s="7" t="s">
        <v>15</v>
      </c>
      <c r="I2" s="7" t="s">
        <v>29</v>
      </c>
      <c r="J2" s="7" t="s">
        <v>194</v>
      </c>
      <c r="K2" s="9">
        <v>11755.26</v>
      </c>
      <c r="L2" s="10" t="str">
        <f>TEXT(Table1[[#This Row],[Date]],"MMM"&amp;" yyy")</f>
        <v>Jan 2025</v>
      </c>
    </row>
    <row r="3" spans="1:12" x14ac:dyDescent="0.3">
      <c r="A3" s="5">
        <v>2660</v>
      </c>
      <c r="B3" s="6">
        <v>45664</v>
      </c>
      <c r="C3" s="7" t="s">
        <v>205</v>
      </c>
      <c r="D3" s="7" t="s">
        <v>32</v>
      </c>
      <c r="E3" s="7" t="s">
        <v>14</v>
      </c>
      <c r="F3" s="7">
        <v>4</v>
      </c>
      <c r="G3" s="8">
        <v>3186.64</v>
      </c>
      <c r="H3" s="7" t="s">
        <v>58</v>
      </c>
      <c r="I3" s="7" t="s">
        <v>16</v>
      </c>
      <c r="J3" s="7" t="s">
        <v>206</v>
      </c>
      <c r="K3" s="9">
        <v>12746.56</v>
      </c>
      <c r="L3" s="7" t="str">
        <f>TEXT(Table1[[#This Row],[Date]],"MMM"&amp;" yyy")</f>
        <v>Jan 2025</v>
      </c>
    </row>
    <row r="4" spans="1:12" x14ac:dyDescent="0.3">
      <c r="A4" s="5">
        <v>6212</v>
      </c>
      <c r="B4" s="6">
        <v>45665</v>
      </c>
      <c r="C4" s="7" t="s">
        <v>368</v>
      </c>
      <c r="D4" s="7" t="s">
        <v>28</v>
      </c>
      <c r="E4" s="7" t="s">
        <v>14</v>
      </c>
      <c r="F4" s="7">
        <v>2</v>
      </c>
      <c r="G4" s="8">
        <v>2898.21</v>
      </c>
      <c r="H4" s="7" t="s">
        <v>15</v>
      </c>
      <c r="I4" s="7" t="s">
        <v>16</v>
      </c>
      <c r="J4" s="7" t="s">
        <v>369</v>
      </c>
      <c r="K4" s="9">
        <v>5796.42</v>
      </c>
      <c r="L4" s="7" t="str">
        <f>TEXT(Table1[[#This Row],[Date]],"MMM"&amp;" yyy")</f>
        <v>Jan 2025</v>
      </c>
    </row>
    <row r="5" spans="1:12" x14ac:dyDescent="0.3">
      <c r="A5" s="5">
        <v>8491</v>
      </c>
      <c r="B5" s="6">
        <v>45665</v>
      </c>
      <c r="C5" s="7" t="s">
        <v>471</v>
      </c>
      <c r="D5" s="7" t="s">
        <v>28</v>
      </c>
      <c r="E5" s="7" t="s">
        <v>14</v>
      </c>
      <c r="F5" s="7">
        <v>2</v>
      </c>
      <c r="G5" s="8">
        <v>963.34</v>
      </c>
      <c r="H5" s="7" t="s">
        <v>58</v>
      </c>
      <c r="I5" s="7" t="s">
        <v>29</v>
      </c>
      <c r="J5" s="7" t="s">
        <v>472</v>
      </c>
      <c r="K5" s="9">
        <v>1926.68</v>
      </c>
      <c r="L5" s="7" t="str">
        <f>TEXT(Table1[[#This Row],[Date]],"MMM"&amp;" yyy")</f>
        <v>Jan 2025</v>
      </c>
    </row>
    <row r="6" spans="1:12" x14ac:dyDescent="0.3">
      <c r="A6" s="5">
        <v>3068</v>
      </c>
      <c r="B6" s="6">
        <v>45667</v>
      </c>
      <c r="C6" s="7" t="s">
        <v>197</v>
      </c>
      <c r="D6" s="7" t="s">
        <v>45</v>
      </c>
      <c r="E6" s="7" t="s">
        <v>20</v>
      </c>
      <c r="F6" s="7">
        <v>2</v>
      </c>
      <c r="G6" s="8">
        <v>988.2</v>
      </c>
      <c r="H6" s="7" t="s">
        <v>37</v>
      </c>
      <c r="I6" s="7" t="s">
        <v>16</v>
      </c>
      <c r="J6" s="7" t="s">
        <v>198</v>
      </c>
      <c r="K6" s="9">
        <v>1976.4</v>
      </c>
      <c r="L6" s="7" t="str">
        <f>TEXT(Table1[[#This Row],[Date]],"MMM"&amp;" yyy")</f>
        <v>Jan 2025</v>
      </c>
    </row>
    <row r="7" spans="1:12" x14ac:dyDescent="0.3">
      <c r="A7" s="5">
        <v>3603</v>
      </c>
      <c r="B7" s="6">
        <v>45667</v>
      </c>
      <c r="C7" s="7" t="s">
        <v>201</v>
      </c>
      <c r="D7" s="7" t="s">
        <v>45</v>
      </c>
      <c r="E7" s="7" t="s">
        <v>14</v>
      </c>
      <c r="F7" s="7">
        <v>5</v>
      </c>
      <c r="G7" s="8">
        <v>4340.71</v>
      </c>
      <c r="H7" s="7" t="s">
        <v>37</v>
      </c>
      <c r="I7" s="7" t="s">
        <v>29</v>
      </c>
      <c r="J7" s="7" t="s">
        <v>202</v>
      </c>
      <c r="K7" s="9">
        <v>21703.55</v>
      </c>
      <c r="L7" s="7" t="str">
        <f>TEXT(Table1[[#This Row],[Date]],"MMM"&amp;" yyy")</f>
        <v>Jan 2025</v>
      </c>
    </row>
    <row r="8" spans="1:12" x14ac:dyDescent="0.3">
      <c r="A8" s="5">
        <v>2933</v>
      </c>
      <c r="B8" s="6">
        <v>45668</v>
      </c>
      <c r="C8" s="7" t="s">
        <v>640</v>
      </c>
      <c r="D8" s="7" t="s">
        <v>42</v>
      </c>
      <c r="E8" s="7" t="s">
        <v>14</v>
      </c>
      <c r="F8" s="7">
        <v>1</v>
      </c>
      <c r="G8" s="8">
        <v>1619.68</v>
      </c>
      <c r="H8" s="7" t="s">
        <v>15</v>
      </c>
      <c r="I8" s="7" t="s">
        <v>29</v>
      </c>
      <c r="J8" s="7" t="s">
        <v>641</v>
      </c>
      <c r="K8" s="9">
        <v>1619.68</v>
      </c>
      <c r="L8" s="7" t="str">
        <f>TEXT(Table1[[#This Row],[Date]],"MMM"&amp;" yyy")</f>
        <v>Jan 2025</v>
      </c>
    </row>
    <row r="9" spans="1:12" x14ac:dyDescent="0.3">
      <c r="A9" s="5">
        <v>4798</v>
      </c>
      <c r="B9" s="6">
        <v>45669</v>
      </c>
      <c r="C9" s="7" t="s">
        <v>336</v>
      </c>
      <c r="D9" s="7" t="s">
        <v>42</v>
      </c>
      <c r="E9" s="7" t="s">
        <v>20</v>
      </c>
      <c r="F9" s="7">
        <v>3</v>
      </c>
      <c r="G9" s="8">
        <v>931.37</v>
      </c>
      <c r="H9" s="7" t="s">
        <v>37</v>
      </c>
      <c r="I9" s="7" t="s">
        <v>16</v>
      </c>
      <c r="J9" s="7" t="s">
        <v>337</v>
      </c>
      <c r="K9" s="9">
        <v>2794.11</v>
      </c>
      <c r="L9" s="7" t="str">
        <f>TEXT(Table1[[#This Row],[Date]],"MMM"&amp;" yyy")</f>
        <v>Jan 2025</v>
      </c>
    </row>
    <row r="10" spans="1:12" x14ac:dyDescent="0.3">
      <c r="A10" s="5">
        <v>6888</v>
      </c>
      <c r="B10" s="6">
        <v>45669</v>
      </c>
      <c r="C10" s="7" t="s">
        <v>582</v>
      </c>
      <c r="D10" s="7" t="s">
        <v>23</v>
      </c>
      <c r="E10" s="7" t="s">
        <v>20</v>
      </c>
      <c r="F10" s="7">
        <v>3</v>
      </c>
      <c r="G10" s="8">
        <v>1065.5999999999999</v>
      </c>
      <c r="H10" s="7" t="s">
        <v>58</v>
      </c>
      <c r="I10" s="7" t="s">
        <v>29</v>
      </c>
      <c r="J10" s="7" t="s">
        <v>583</v>
      </c>
      <c r="K10" s="9">
        <v>3196.7999999999997</v>
      </c>
      <c r="L10" s="7" t="str">
        <f>TEXT(Table1[[#This Row],[Date]],"MMM"&amp;" yyy")</f>
        <v>Jan 2025</v>
      </c>
    </row>
    <row r="11" spans="1:12" x14ac:dyDescent="0.3">
      <c r="A11" s="5">
        <v>3485</v>
      </c>
      <c r="B11" s="6">
        <v>45670</v>
      </c>
      <c r="C11" s="7" t="s">
        <v>179</v>
      </c>
      <c r="D11" s="7" t="s">
        <v>19</v>
      </c>
      <c r="E11" s="7" t="s">
        <v>20</v>
      </c>
      <c r="F11" s="7">
        <v>1</v>
      </c>
      <c r="G11" s="8">
        <v>478.66</v>
      </c>
      <c r="H11" s="7" t="s">
        <v>15</v>
      </c>
      <c r="I11" s="7" t="s">
        <v>29</v>
      </c>
      <c r="J11" s="7" t="s">
        <v>180</v>
      </c>
      <c r="K11" s="9">
        <v>478.66</v>
      </c>
      <c r="L11" s="7" t="str">
        <f>TEXT(Table1[[#This Row],[Date]],"MMM"&amp;" yyy")</f>
        <v>Jan 2025</v>
      </c>
    </row>
    <row r="12" spans="1:12" x14ac:dyDescent="0.3">
      <c r="A12" s="5">
        <v>7489</v>
      </c>
      <c r="B12" s="6">
        <v>45670</v>
      </c>
      <c r="C12" s="7" t="s">
        <v>18</v>
      </c>
      <c r="D12" s="7" t="s">
        <v>19</v>
      </c>
      <c r="E12" s="7" t="s">
        <v>20</v>
      </c>
      <c r="F12" s="7">
        <v>3</v>
      </c>
      <c r="G12" s="8">
        <v>4467.71</v>
      </c>
      <c r="H12" s="7" t="s">
        <v>15</v>
      </c>
      <c r="I12" s="7" t="s">
        <v>16</v>
      </c>
      <c r="J12" s="7" t="s">
        <v>21</v>
      </c>
      <c r="K12" s="9">
        <v>13403.130000000001</v>
      </c>
      <c r="L12" s="7" t="str">
        <f>TEXT(Table1[[#This Row],[Date]],"MMM"&amp;" yyy")</f>
        <v>Jan 2025</v>
      </c>
    </row>
    <row r="13" spans="1:12" x14ac:dyDescent="0.3">
      <c r="A13" s="5">
        <v>4327</v>
      </c>
      <c r="B13" s="6">
        <v>45671</v>
      </c>
      <c r="C13" s="7" t="s">
        <v>354</v>
      </c>
      <c r="D13" s="7" t="s">
        <v>48</v>
      </c>
      <c r="E13" s="7" t="s">
        <v>24</v>
      </c>
      <c r="F13" s="7">
        <v>3</v>
      </c>
      <c r="G13" s="8">
        <v>1682.37</v>
      </c>
      <c r="H13" s="7" t="s">
        <v>37</v>
      </c>
      <c r="I13" s="7" t="s">
        <v>29</v>
      </c>
      <c r="J13" s="7" t="s">
        <v>355</v>
      </c>
      <c r="K13" s="9">
        <v>5047.1099999999997</v>
      </c>
      <c r="L13" s="7" t="str">
        <f>TEXT(Table1[[#This Row],[Date]],"MMM"&amp;" yyy")</f>
        <v>Jan 2025</v>
      </c>
    </row>
    <row r="14" spans="1:12" x14ac:dyDescent="0.3">
      <c r="A14" s="5">
        <v>6247</v>
      </c>
      <c r="B14" s="6">
        <v>45672</v>
      </c>
      <c r="C14" s="7" t="s">
        <v>540</v>
      </c>
      <c r="D14" s="7" t="s">
        <v>19</v>
      </c>
      <c r="E14" s="7" t="s">
        <v>14</v>
      </c>
      <c r="F14" s="7">
        <v>4</v>
      </c>
      <c r="G14" s="8">
        <v>2661.51</v>
      </c>
      <c r="H14" s="7" t="s">
        <v>37</v>
      </c>
      <c r="I14" s="7" t="s">
        <v>25</v>
      </c>
      <c r="J14" s="7" t="s">
        <v>541</v>
      </c>
      <c r="K14" s="9">
        <v>10646.04</v>
      </c>
      <c r="L14" s="7" t="str">
        <f>TEXT(Table1[[#This Row],[Date]],"MMM"&amp;" yyy")</f>
        <v>Jan 2025</v>
      </c>
    </row>
    <row r="15" spans="1:12" x14ac:dyDescent="0.3">
      <c r="A15" s="5">
        <v>5868</v>
      </c>
      <c r="B15" s="6">
        <v>45673</v>
      </c>
      <c r="C15" s="7" t="s">
        <v>610</v>
      </c>
      <c r="D15" s="7" t="s">
        <v>13</v>
      </c>
      <c r="E15" s="7" t="s">
        <v>20</v>
      </c>
      <c r="F15" s="7">
        <v>4</v>
      </c>
      <c r="G15" s="8">
        <v>3692.08</v>
      </c>
      <c r="H15" s="7" t="s">
        <v>58</v>
      </c>
      <c r="I15" s="7" t="s">
        <v>16</v>
      </c>
      <c r="J15" s="7" t="s">
        <v>611</v>
      </c>
      <c r="K15" s="9">
        <v>14768.32</v>
      </c>
      <c r="L15" s="7" t="str">
        <f>TEXT(Table1[[#This Row],[Date]],"MMM"&amp;" yyy")</f>
        <v>Jan 2025</v>
      </c>
    </row>
    <row r="16" spans="1:12" x14ac:dyDescent="0.3">
      <c r="A16" s="5">
        <v>8097</v>
      </c>
      <c r="B16" s="6">
        <v>45673</v>
      </c>
      <c r="C16" s="7" t="s">
        <v>542</v>
      </c>
      <c r="D16" s="7" t="s">
        <v>65</v>
      </c>
      <c r="E16" s="7" t="s">
        <v>24</v>
      </c>
      <c r="F16" s="7">
        <v>1</v>
      </c>
      <c r="G16" s="8">
        <v>1467.94</v>
      </c>
      <c r="H16" s="7" t="s">
        <v>58</v>
      </c>
      <c r="I16" s="7" t="s">
        <v>29</v>
      </c>
      <c r="J16" s="7" t="s">
        <v>543</v>
      </c>
      <c r="K16" s="9">
        <v>1467.94</v>
      </c>
      <c r="L16" s="7" t="str">
        <f>TEXT(Table1[[#This Row],[Date]],"MMM"&amp;" yyy")</f>
        <v>Jan 2025</v>
      </c>
    </row>
    <row r="17" spans="1:12" x14ac:dyDescent="0.3">
      <c r="A17" s="5">
        <v>5911</v>
      </c>
      <c r="B17" s="6">
        <v>45674</v>
      </c>
      <c r="C17" s="7" t="s">
        <v>532</v>
      </c>
      <c r="D17" s="7" t="s">
        <v>48</v>
      </c>
      <c r="E17" s="7" t="s">
        <v>20</v>
      </c>
      <c r="F17" s="7">
        <v>4</v>
      </c>
      <c r="G17" s="8">
        <v>2916.04</v>
      </c>
      <c r="H17" s="7" t="s">
        <v>37</v>
      </c>
      <c r="I17" s="7" t="s">
        <v>16</v>
      </c>
      <c r="J17" s="7" t="s">
        <v>533</v>
      </c>
      <c r="K17" s="9">
        <v>11664.16</v>
      </c>
      <c r="L17" s="7" t="str">
        <f>TEXT(Table1[[#This Row],[Date]],"MMM"&amp;" yyy")</f>
        <v>Jan 2025</v>
      </c>
    </row>
    <row r="18" spans="1:12" x14ac:dyDescent="0.3">
      <c r="A18" s="5">
        <v>7190</v>
      </c>
      <c r="B18" s="6">
        <v>45674</v>
      </c>
      <c r="C18" s="7" t="s">
        <v>225</v>
      </c>
      <c r="D18" s="7" t="s">
        <v>65</v>
      </c>
      <c r="E18" s="7" t="s">
        <v>24</v>
      </c>
      <c r="F18" s="7">
        <v>3</v>
      </c>
      <c r="G18" s="8">
        <v>3161.26</v>
      </c>
      <c r="H18" s="7" t="s">
        <v>58</v>
      </c>
      <c r="I18" s="7" t="s">
        <v>25</v>
      </c>
      <c r="J18" s="7" t="s">
        <v>226</v>
      </c>
      <c r="K18" s="9">
        <v>9483.7800000000007</v>
      </c>
      <c r="L18" s="7" t="str">
        <f>TEXT(Table1[[#This Row],[Date]],"MMM"&amp;" yyy")</f>
        <v>Jan 2025</v>
      </c>
    </row>
    <row r="19" spans="1:12" x14ac:dyDescent="0.3">
      <c r="A19" s="5">
        <v>8768</v>
      </c>
      <c r="B19" s="6">
        <v>45674</v>
      </c>
      <c r="C19" s="7" t="s">
        <v>652</v>
      </c>
      <c r="D19" s="7" t="s">
        <v>48</v>
      </c>
      <c r="E19" s="7" t="s">
        <v>20</v>
      </c>
      <c r="F19" s="7">
        <v>5</v>
      </c>
      <c r="G19" s="8">
        <v>2046.78</v>
      </c>
      <c r="H19" s="7" t="s">
        <v>15</v>
      </c>
      <c r="I19" s="7" t="s">
        <v>29</v>
      </c>
      <c r="J19" s="7" t="s">
        <v>653</v>
      </c>
      <c r="K19" s="9">
        <v>10233.9</v>
      </c>
      <c r="L19" s="7" t="str">
        <f>TEXT(Table1[[#This Row],[Date]],"MMM"&amp;" yyy")</f>
        <v>Jan 2025</v>
      </c>
    </row>
    <row r="20" spans="1:12" x14ac:dyDescent="0.3">
      <c r="A20" s="5">
        <v>9563</v>
      </c>
      <c r="B20" s="6">
        <v>45674</v>
      </c>
      <c r="C20" s="7" t="s">
        <v>91</v>
      </c>
      <c r="D20" s="7" t="s">
        <v>42</v>
      </c>
      <c r="E20" s="7" t="s">
        <v>20</v>
      </c>
      <c r="F20" s="7">
        <v>2</v>
      </c>
      <c r="G20" s="8">
        <v>1997.47</v>
      </c>
      <c r="H20" s="7" t="s">
        <v>58</v>
      </c>
      <c r="I20" s="7" t="s">
        <v>16</v>
      </c>
      <c r="J20" s="7" t="s">
        <v>92</v>
      </c>
      <c r="K20" s="9">
        <v>3994.94</v>
      </c>
      <c r="L20" s="7" t="str">
        <f>TEXT(Table1[[#This Row],[Date]],"MMM"&amp;" yyy")</f>
        <v>Jan 2025</v>
      </c>
    </row>
    <row r="21" spans="1:12" x14ac:dyDescent="0.3">
      <c r="A21" s="5">
        <v>4662</v>
      </c>
      <c r="B21" s="6">
        <v>45676</v>
      </c>
      <c r="C21" s="7" t="s">
        <v>511</v>
      </c>
      <c r="D21" s="7" t="s">
        <v>48</v>
      </c>
      <c r="E21" s="7" t="s">
        <v>24</v>
      </c>
      <c r="F21" s="7">
        <v>5</v>
      </c>
      <c r="G21" s="8">
        <v>2135.4</v>
      </c>
      <c r="H21" s="7" t="s">
        <v>15</v>
      </c>
      <c r="I21" s="7" t="s">
        <v>25</v>
      </c>
      <c r="J21" s="7" t="s">
        <v>512</v>
      </c>
      <c r="K21" s="9">
        <v>10677</v>
      </c>
      <c r="L21" s="7" t="str">
        <f>TEXT(Table1[[#This Row],[Date]],"MMM"&amp;" yyy")</f>
        <v>Jan 2025</v>
      </c>
    </row>
    <row r="22" spans="1:12" x14ac:dyDescent="0.3">
      <c r="A22" s="5">
        <v>9758</v>
      </c>
      <c r="B22" s="6">
        <v>45676</v>
      </c>
      <c r="C22" s="7" t="s">
        <v>129</v>
      </c>
      <c r="D22" s="7" t="s">
        <v>13</v>
      </c>
      <c r="E22" s="7" t="s">
        <v>14</v>
      </c>
      <c r="F22" s="7">
        <v>1</v>
      </c>
      <c r="G22" s="8">
        <v>2972.25</v>
      </c>
      <c r="H22" s="7" t="s">
        <v>15</v>
      </c>
      <c r="I22" s="7" t="s">
        <v>29</v>
      </c>
      <c r="J22" s="7" t="s">
        <v>130</v>
      </c>
      <c r="K22" s="9">
        <v>2972.25</v>
      </c>
      <c r="L22" s="7" t="str">
        <f>TEXT(Table1[[#This Row],[Date]],"MMM"&amp;" yyy")</f>
        <v>Jan 2025</v>
      </c>
    </row>
    <row r="23" spans="1:12" x14ac:dyDescent="0.3">
      <c r="A23" s="5">
        <v>3113</v>
      </c>
      <c r="B23" s="6">
        <v>45677</v>
      </c>
      <c r="C23" s="7" t="s">
        <v>501</v>
      </c>
      <c r="D23" s="7" t="s">
        <v>48</v>
      </c>
      <c r="E23" s="7" t="s">
        <v>24</v>
      </c>
      <c r="F23" s="7">
        <v>1</v>
      </c>
      <c r="G23" s="8">
        <v>2065.2600000000002</v>
      </c>
      <c r="H23" s="7" t="s">
        <v>15</v>
      </c>
      <c r="I23" s="7" t="s">
        <v>16</v>
      </c>
      <c r="J23" s="7" t="s">
        <v>502</v>
      </c>
      <c r="K23" s="9">
        <v>2065.2600000000002</v>
      </c>
      <c r="L23" s="7" t="str">
        <f>TEXT(Table1[[#This Row],[Date]],"MMM"&amp;" yyy")</f>
        <v>Jan 2025</v>
      </c>
    </row>
    <row r="24" spans="1:12" x14ac:dyDescent="0.3">
      <c r="A24" s="5">
        <v>3189</v>
      </c>
      <c r="B24" s="6">
        <v>45677</v>
      </c>
      <c r="C24" s="7" t="s">
        <v>479</v>
      </c>
      <c r="D24" s="7" t="s">
        <v>65</v>
      </c>
      <c r="E24" s="7" t="s">
        <v>20</v>
      </c>
      <c r="F24" s="7">
        <v>3</v>
      </c>
      <c r="G24" s="8">
        <v>3923.6</v>
      </c>
      <c r="H24" s="7" t="s">
        <v>15</v>
      </c>
      <c r="I24" s="7" t="s">
        <v>29</v>
      </c>
      <c r="J24" s="7" t="s">
        <v>480</v>
      </c>
      <c r="K24" s="9">
        <v>11770.8</v>
      </c>
      <c r="L24" s="7" t="str">
        <f>TEXT(Table1[[#This Row],[Date]],"MMM"&amp;" yyy")</f>
        <v>Jan 2025</v>
      </c>
    </row>
    <row r="25" spans="1:12" x14ac:dyDescent="0.3">
      <c r="A25" s="5">
        <v>4625</v>
      </c>
      <c r="B25" s="6">
        <v>45677</v>
      </c>
      <c r="C25" s="7" t="s">
        <v>362</v>
      </c>
      <c r="D25" s="7" t="s">
        <v>48</v>
      </c>
      <c r="E25" s="7" t="s">
        <v>14</v>
      </c>
      <c r="F25" s="7">
        <v>1</v>
      </c>
      <c r="G25" s="8">
        <v>3713.19</v>
      </c>
      <c r="H25" s="7" t="s">
        <v>58</v>
      </c>
      <c r="I25" s="7" t="s">
        <v>16</v>
      </c>
      <c r="J25" s="7" t="s">
        <v>363</v>
      </c>
      <c r="K25" s="9">
        <v>3713.19</v>
      </c>
      <c r="L25" s="7" t="str">
        <f>TEXT(Table1[[#This Row],[Date]],"MMM"&amp;" yyy")</f>
        <v>Jan 2025</v>
      </c>
    </row>
    <row r="26" spans="1:12" x14ac:dyDescent="0.3">
      <c r="A26" s="5">
        <v>7882</v>
      </c>
      <c r="B26" s="6">
        <v>45677</v>
      </c>
      <c r="C26" s="7" t="s">
        <v>622</v>
      </c>
      <c r="D26" s="7" t="s">
        <v>23</v>
      </c>
      <c r="E26" s="7" t="s">
        <v>20</v>
      </c>
      <c r="F26" s="7">
        <v>3</v>
      </c>
      <c r="G26" s="8">
        <v>867.47</v>
      </c>
      <c r="H26" s="7" t="s">
        <v>37</v>
      </c>
      <c r="I26" s="7" t="s">
        <v>16</v>
      </c>
      <c r="J26" s="7" t="s">
        <v>623</v>
      </c>
      <c r="K26" s="9">
        <v>2602.41</v>
      </c>
      <c r="L26" s="7" t="str">
        <f>TEXT(Table1[[#This Row],[Date]],"MMM"&amp;" yyy")</f>
        <v>Jan 2025</v>
      </c>
    </row>
    <row r="27" spans="1:12" x14ac:dyDescent="0.3">
      <c r="A27" s="5">
        <v>2828</v>
      </c>
      <c r="B27" s="6">
        <v>45678</v>
      </c>
      <c r="C27" s="7" t="s">
        <v>159</v>
      </c>
      <c r="D27" s="7" t="s">
        <v>23</v>
      </c>
      <c r="E27" s="7" t="s">
        <v>14</v>
      </c>
      <c r="F27" s="7">
        <v>2</v>
      </c>
      <c r="G27" s="8">
        <v>4452.83</v>
      </c>
      <c r="H27" s="7" t="s">
        <v>37</v>
      </c>
      <c r="I27" s="7" t="s">
        <v>16</v>
      </c>
      <c r="J27" s="7" t="s">
        <v>160</v>
      </c>
      <c r="K27" s="9">
        <v>8905.66</v>
      </c>
      <c r="L27" s="7" t="str">
        <f>TEXT(Table1[[#This Row],[Date]],"MMM"&amp;" yyy")</f>
        <v>Jan 2025</v>
      </c>
    </row>
    <row r="28" spans="1:12" x14ac:dyDescent="0.3">
      <c r="A28" s="5">
        <v>3092</v>
      </c>
      <c r="B28" s="6">
        <v>45678</v>
      </c>
      <c r="C28" s="7" t="s">
        <v>348</v>
      </c>
      <c r="D28" s="7" t="s">
        <v>19</v>
      </c>
      <c r="E28" s="7" t="s">
        <v>14</v>
      </c>
      <c r="F28" s="7">
        <v>1</v>
      </c>
      <c r="G28" s="8">
        <v>470.83</v>
      </c>
      <c r="H28" s="7" t="s">
        <v>37</v>
      </c>
      <c r="I28" s="7" t="s">
        <v>16</v>
      </c>
      <c r="J28" s="7" t="s">
        <v>349</v>
      </c>
      <c r="K28" s="9">
        <v>470.83</v>
      </c>
      <c r="L28" s="7" t="str">
        <f>TEXT(Table1[[#This Row],[Date]],"MMM"&amp;" yyy")</f>
        <v>Jan 2025</v>
      </c>
    </row>
    <row r="29" spans="1:12" x14ac:dyDescent="0.3">
      <c r="A29" s="5">
        <v>6796</v>
      </c>
      <c r="B29" s="6">
        <v>45678</v>
      </c>
      <c r="C29" s="7" t="s">
        <v>305</v>
      </c>
      <c r="D29" s="7" t="s">
        <v>13</v>
      </c>
      <c r="E29" s="7" t="s">
        <v>20</v>
      </c>
      <c r="F29" s="7">
        <v>2</v>
      </c>
      <c r="G29" s="8">
        <v>3504.58</v>
      </c>
      <c r="H29" s="7" t="s">
        <v>15</v>
      </c>
      <c r="I29" s="7" t="s">
        <v>25</v>
      </c>
      <c r="J29" s="7" t="s">
        <v>306</v>
      </c>
      <c r="K29" s="9">
        <v>7009.16</v>
      </c>
      <c r="L29" s="7" t="str">
        <f>TEXT(Table1[[#This Row],[Date]],"MMM"&amp;" yyy")</f>
        <v>Jan 2025</v>
      </c>
    </row>
    <row r="30" spans="1:12" x14ac:dyDescent="0.3">
      <c r="A30" s="5">
        <v>1948</v>
      </c>
      <c r="B30" s="6">
        <v>45679</v>
      </c>
      <c r="C30" s="7" t="s">
        <v>57</v>
      </c>
      <c r="D30" s="7" t="s">
        <v>32</v>
      </c>
      <c r="E30" s="7" t="s">
        <v>20</v>
      </c>
      <c r="F30" s="7">
        <v>1</v>
      </c>
      <c r="G30" s="8">
        <v>1126</v>
      </c>
      <c r="H30" s="7" t="s">
        <v>58</v>
      </c>
      <c r="I30" s="7" t="s">
        <v>29</v>
      </c>
      <c r="J30" s="7" t="s">
        <v>59</v>
      </c>
      <c r="K30" s="9">
        <v>1126</v>
      </c>
      <c r="L30" s="7" t="str">
        <f>TEXT(Table1[[#This Row],[Date]],"MMM"&amp;" yyy")</f>
        <v>Jan 2025</v>
      </c>
    </row>
    <row r="31" spans="1:12" x14ac:dyDescent="0.3">
      <c r="A31" s="5">
        <v>2727</v>
      </c>
      <c r="B31" s="6">
        <v>45679</v>
      </c>
      <c r="C31" s="7" t="s">
        <v>434</v>
      </c>
      <c r="D31" s="7" t="s">
        <v>19</v>
      </c>
      <c r="E31" s="7" t="s">
        <v>20</v>
      </c>
      <c r="F31" s="7">
        <v>4</v>
      </c>
      <c r="G31" s="8">
        <v>836.69</v>
      </c>
      <c r="H31" s="7" t="s">
        <v>15</v>
      </c>
      <c r="I31" s="7" t="s">
        <v>25</v>
      </c>
      <c r="J31" s="7" t="s">
        <v>435</v>
      </c>
      <c r="K31" s="9">
        <v>3346.76</v>
      </c>
      <c r="L31" s="7" t="str">
        <f>TEXT(Table1[[#This Row],[Date]],"MMM"&amp;" yyy")</f>
        <v>Jan 2025</v>
      </c>
    </row>
    <row r="32" spans="1:12" x14ac:dyDescent="0.3">
      <c r="A32" s="5">
        <v>1437</v>
      </c>
      <c r="B32" s="6">
        <v>45680</v>
      </c>
      <c r="C32" s="7" t="s">
        <v>235</v>
      </c>
      <c r="D32" s="7" t="s">
        <v>13</v>
      </c>
      <c r="E32" s="7" t="s">
        <v>14</v>
      </c>
      <c r="F32" s="7">
        <v>2</v>
      </c>
      <c r="G32" s="8">
        <v>1544.79</v>
      </c>
      <c r="H32" s="7" t="s">
        <v>15</v>
      </c>
      <c r="I32" s="7" t="s">
        <v>25</v>
      </c>
      <c r="J32" s="7" t="s">
        <v>236</v>
      </c>
      <c r="K32" s="9">
        <v>3089.58</v>
      </c>
      <c r="L32" s="7" t="str">
        <f>TEXT(Table1[[#This Row],[Date]],"MMM"&amp;" yyy")</f>
        <v>Jan 2025</v>
      </c>
    </row>
    <row r="33" spans="1:12" x14ac:dyDescent="0.3">
      <c r="A33" s="5">
        <v>1548</v>
      </c>
      <c r="B33" s="6">
        <v>45680</v>
      </c>
      <c r="C33" s="7" t="s">
        <v>515</v>
      </c>
      <c r="D33" s="7" t="s">
        <v>23</v>
      </c>
      <c r="E33" s="7" t="s">
        <v>14</v>
      </c>
      <c r="F33" s="7">
        <v>5</v>
      </c>
      <c r="G33" s="8">
        <v>3227.16</v>
      </c>
      <c r="H33" s="7" t="s">
        <v>58</v>
      </c>
      <c r="I33" s="7" t="s">
        <v>29</v>
      </c>
      <c r="J33" s="7" t="s">
        <v>516</v>
      </c>
      <c r="K33" s="9">
        <v>16135.8</v>
      </c>
      <c r="L33" s="7" t="str">
        <f>TEXT(Table1[[#This Row],[Date]],"MMM"&amp;" yyy")</f>
        <v>Jan 2025</v>
      </c>
    </row>
    <row r="34" spans="1:12" x14ac:dyDescent="0.3">
      <c r="A34" s="5">
        <v>1617</v>
      </c>
      <c r="B34" s="6">
        <v>45680</v>
      </c>
      <c r="C34" s="7" t="s">
        <v>612</v>
      </c>
      <c r="D34" s="7" t="s">
        <v>32</v>
      </c>
      <c r="E34" s="7" t="s">
        <v>20</v>
      </c>
      <c r="F34" s="7">
        <v>4</v>
      </c>
      <c r="G34" s="8">
        <v>4282.87</v>
      </c>
      <c r="H34" s="7" t="s">
        <v>37</v>
      </c>
      <c r="I34" s="7" t="s">
        <v>25</v>
      </c>
      <c r="J34" s="7" t="s">
        <v>613</v>
      </c>
      <c r="K34" s="9">
        <v>17131.48</v>
      </c>
      <c r="L34" s="7" t="str">
        <f>TEXT(Table1[[#This Row],[Date]],"MMM"&amp;" yyy")</f>
        <v>Jan 2025</v>
      </c>
    </row>
    <row r="35" spans="1:12" x14ac:dyDescent="0.3">
      <c r="A35" s="5">
        <v>3219</v>
      </c>
      <c r="B35" s="6">
        <v>45680</v>
      </c>
      <c r="C35" s="7" t="s">
        <v>299</v>
      </c>
      <c r="D35" s="7" t="s">
        <v>48</v>
      </c>
      <c r="E35" s="7" t="s">
        <v>24</v>
      </c>
      <c r="F35" s="7">
        <v>3</v>
      </c>
      <c r="G35" s="8">
        <v>1225.3399999999999</v>
      </c>
      <c r="H35" s="7" t="s">
        <v>15</v>
      </c>
      <c r="I35" s="7" t="s">
        <v>25</v>
      </c>
      <c r="J35" s="7" t="s">
        <v>300</v>
      </c>
      <c r="K35" s="9">
        <v>3676.0199999999995</v>
      </c>
      <c r="L35" s="7" t="str">
        <f>TEXT(Table1[[#This Row],[Date]],"MMM"&amp;" yyy")</f>
        <v>Jan 2025</v>
      </c>
    </row>
    <row r="36" spans="1:12" x14ac:dyDescent="0.3">
      <c r="A36" s="5">
        <v>1305</v>
      </c>
      <c r="B36" s="6">
        <v>45681</v>
      </c>
      <c r="C36" s="7" t="s">
        <v>241</v>
      </c>
      <c r="D36" s="7" t="s">
        <v>55</v>
      </c>
      <c r="E36" s="7" t="s">
        <v>14</v>
      </c>
      <c r="F36" s="7">
        <v>2</v>
      </c>
      <c r="G36" s="8">
        <v>2748.11</v>
      </c>
      <c r="H36" s="7" t="s">
        <v>37</v>
      </c>
      <c r="I36" s="7" t="s">
        <v>16</v>
      </c>
      <c r="J36" s="7" t="s">
        <v>242</v>
      </c>
      <c r="K36" s="9">
        <v>5496.22</v>
      </c>
      <c r="L36" s="7" t="str">
        <f>TEXT(Table1[[#This Row],[Date]],"MMM"&amp;" yyy")</f>
        <v>Jan 2025</v>
      </c>
    </row>
    <row r="37" spans="1:12" x14ac:dyDescent="0.3">
      <c r="A37" s="5">
        <v>5896</v>
      </c>
      <c r="B37" s="6">
        <v>45681</v>
      </c>
      <c r="C37" s="7" t="s">
        <v>489</v>
      </c>
      <c r="D37" s="7" t="s">
        <v>42</v>
      </c>
      <c r="E37" s="7" t="s">
        <v>20</v>
      </c>
      <c r="F37" s="7">
        <v>2</v>
      </c>
      <c r="G37" s="8">
        <v>191.31</v>
      </c>
      <c r="H37" s="7" t="s">
        <v>37</v>
      </c>
      <c r="I37" s="7" t="s">
        <v>29</v>
      </c>
      <c r="J37" s="7" t="s">
        <v>490</v>
      </c>
      <c r="K37" s="9">
        <v>382.62</v>
      </c>
      <c r="L37" s="7" t="str">
        <f>TEXT(Table1[[#This Row],[Date]],"MMM"&amp;" yyy")</f>
        <v>Jan 2025</v>
      </c>
    </row>
    <row r="38" spans="1:12" x14ac:dyDescent="0.3">
      <c r="A38" s="5">
        <v>8143</v>
      </c>
      <c r="B38" s="6">
        <v>45681</v>
      </c>
      <c r="C38" s="7" t="s">
        <v>203</v>
      </c>
      <c r="D38" s="7" t="s">
        <v>42</v>
      </c>
      <c r="E38" s="7" t="s">
        <v>24</v>
      </c>
      <c r="F38" s="7">
        <v>2</v>
      </c>
      <c r="G38" s="8">
        <v>692.58</v>
      </c>
      <c r="H38" s="7" t="s">
        <v>15</v>
      </c>
      <c r="I38" s="7" t="s">
        <v>29</v>
      </c>
      <c r="J38" s="7" t="s">
        <v>204</v>
      </c>
      <c r="K38" s="9">
        <v>1385.16</v>
      </c>
      <c r="L38" s="7" t="str">
        <f>TEXT(Table1[[#This Row],[Date]],"MMM"&amp;" yyy")</f>
        <v>Jan 2025</v>
      </c>
    </row>
    <row r="39" spans="1:12" x14ac:dyDescent="0.3">
      <c r="A39" s="5">
        <v>2488</v>
      </c>
      <c r="B39" s="6">
        <v>45682</v>
      </c>
      <c r="C39" s="7" t="s">
        <v>558</v>
      </c>
      <c r="D39" s="7" t="s">
        <v>19</v>
      </c>
      <c r="E39" s="7" t="s">
        <v>14</v>
      </c>
      <c r="F39" s="7">
        <v>5</v>
      </c>
      <c r="G39" s="8">
        <v>4898.26</v>
      </c>
      <c r="H39" s="7" t="s">
        <v>58</v>
      </c>
      <c r="I39" s="7" t="s">
        <v>16</v>
      </c>
      <c r="J39" s="7" t="s">
        <v>559</v>
      </c>
      <c r="K39" s="9">
        <v>24491.300000000003</v>
      </c>
      <c r="L39" s="7" t="str">
        <f>TEXT(Table1[[#This Row],[Date]],"MMM"&amp;" yyy")</f>
        <v>Jan 2025</v>
      </c>
    </row>
    <row r="40" spans="1:12" x14ac:dyDescent="0.3">
      <c r="A40" s="5">
        <v>4120</v>
      </c>
      <c r="B40" s="6">
        <v>45682</v>
      </c>
      <c r="C40" s="7" t="s">
        <v>438</v>
      </c>
      <c r="D40" s="7" t="s">
        <v>45</v>
      </c>
      <c r="E40" s="7" t="s">
        <v>24</v>
      </c>
      <c r="F40" s="7">
        <v>1</v>
      </c>
      <c r="G40" s="8">
        <v>4994.6499999999996</v>
      </c>
      <c r="H40" s="7" t="s">
        <v>58</v>
      </c>
      <c r="I40" s="7" t="s">
        <v>25</v>
      </c>
      <c r="J40" s="7" t="s">
        <v>126</v>
      </c>
      <c r="K40" s="9">
        <v>4994.6499999999996</v>
      </c>
      <c r="L40" s="7" t="str">
        <f>TEXT(Table1[[#This Row],[Date]],"MMM"&amp;" yyy")</f>
        <v>Jan 2025</v>
      </c>
    </row>
    <row r="41" spans="1:12" x14ac:dyDescent="0.3">
      <c r="A41" s="5">
        <v>4337</v>
      </c>
      <c r="B41" s="6">
        <v>45682</v>
      </c>
      <c r="C41" s="7" t="s">
        <v>261</v>
      </c>
      <c r="D41" s="7" t="s">
        <v>28</v>
      </c>
      <c r="E41" s="7" t="s">
        <v>24</v>
      </c>
      <c r="F41" s="7">
        <v>1</v>
      </c>
      <c r="G41" s="8">
        <v>3431.88</v>
      </c>
      <c r="H41" s="7" t="s">
        <v>58</v>
      </c>
      <c r="I41" s="7" t="s">
        <v>16</v>
      </c>
      <c r="J41" s="7" t="s">
        <v>262</v>
      </c>
      <c r="K41" s="9">
        <v>3431.88</v>
      </c>
      <c r="L41" s="7" t="str">
        <f>TEXT(Table1[[#This Row],[Date]],"MMM"&amp;" yyy")</f>
        <v>Jan 2025</v>
      </c>
    </row>
    <row r="42" spans="1:12" x14ac:dyDescent="0.3">
      <c r="A42" s="5">
        <v>1222</v>
      </c>
      <c r="B42" s="6">
        <v>45683</v>
      </c>
      <c r="C42" s="7" t="s">
        <v>344</v>
      </c>
      <c r="D42" s="7" t="s">
        <v>55</v>
      </c>
      <c r="E42" s="7" t="s">
        <v>20</v>
      </c>
      <c r="F42" s="7">
        <v>3</v>
      </c>
      <c r="G42" s="8">
        <v>499.22</v>
      </c>
      <c r="H42" s="7" t="s">
        <v>58</v>
      </c>
      <c r="I42" s="7" t="s">
        <v>25</v>
      </c>
      <c r="J42" s="7" t="s">
        <v>345</v>
      </c>
      <c r="K42" s="9">
        <v>1497.66</v>
      </c>
      <c r="L42" s="7" t="str">
        <f>TEXT(Table1[[#This Row],[Date]],"MMM"&amp;" yyy")</f>
        <v>Jan 2025</v>
      </c>
    </row>
    <row r="43" spans="1:12" x14ac:dyDescent="0.3">
      <c r="A43" s="5">
        <v>1755</v>
      </c>
      <c r="B43" s="6">
        <v>45684</v>
      </c>
      <c r="C43" s="7" t="s">
        <v>195</v>
      </c>
      <c r="D43" s="7" t="s">
        <v>19</v>
      </c>
      <c r="E43" s="7" t="s">
        <v>20</v>
      </c>
      <c r="F43" s="7">
        <v>5</v>
      </c>
      <c r="G43" s="8">
        <v>598.79</v>
      </c>
      <c r="H43" s="7" t="s">
        <v>15</v>
      </c>
      <c r="I43" s="7" t="s">
        <v>29</v>
      </c>
      <c r="J43" s="7" t="s">
        <v>196</v>
      </c>
      <c r="K43" s="9">
        <v>2993.95</v>
      </c>
      <c r="L43" s="7" t="str">
        <f>TEXT(Table1[[#This Row],[Date]],"MMM"&amp;" yyy")</f>
        <v>Jan 2025</v>
      </c>
    </row>
    <row r="44" spans="1:12" x14ac:dyDescent="0.3">
      <c r="A44" s="5">
        <v>5431</v>
      </c>
      <c r="B44" s="6">
        <v>45684</v>
      </c>
      <c r="C44" s="7" t="s">
        <v>378</v>
      </c>
      <c r="D44" s="7" t="s">
        <v>28</v>
      </c>
      <c r="E44" s="7" t="s">
        <v>20</v>
      </c>
      <c r="F44" s="7">
        <v>3</v>
      </c>
      <c r="G44" s="8">
        <v>3687.96</v>
      </c>
      <c r="H44" s="7" t="s">
        <v>58</v>
      </c>
      <c r="I44" s="7" t="s">
        <v>29</v>
      </c>
      <c r="J44" s="7" t="s">
        <v>379</v>
      </c>
      <c r="K44" s="9">
        <v>11063.880000000001</v>
      </c>
      <c r="L44" s="7" t="str">
        <f>TEXT(Table1[[#This Row],[Date]],"MMM"&amp;" yyy")</f>
        <v>Jan 2025</v>
      </c>
    </row>
    <row r="45" spans="1:12" x14ac:dyDescent="0.3">
      <c r="A45" s="5">
        <v>4189</v>
      </c>
      <c r="B45" s="6">
        <v>45685</v>
      </c>
      <c r="C45" s="7" t="s">
        <v>572</v>
      </c>
      <c r="D45" s="7" t="s">
        <v>65</v>
      </c>
      <c r="E45" s="7" t="s">
        <v>20</v>
      </c>
      <c r="F45" s="7">
        <v>2</v>
      </c>
      <c r="G45" s="8">
        <v>4896.91</v>
      </c>
      <c r="H45" s="7" t="s">
        <v>58</v>
      </c>
      <c r="I45" s="7" t="s">
        <v>29</v>
      </c>
      <c r="J45" s="7" t="s">
        <v>573</v>
      </c>
      <c r="K45" s="9">
        <v>9793.82</v>
      </c>
      <c r="L45" s="7" t="str">
        <f>TEXT(Table1[[#This Row],[Date]],"MMM"&amp;" yyy")</f>
        <v>Jan 2025</v>
      </c>
    </row>
    <row r="46" spans="1:12" x14ac:dyDescent="0.3">
      <c r="A46" s="5">
        <v>4630</v>
      </c>
      <c r="B46" s="6">
        <v>45685</v>
      </c>
      <c r="C46" s="7" t="s">
        <v>628</v>
      </c>
      <c r="D46" s="7" t="s">
        <v>65</v>
      </c>
      <c r="E46" s="7" t="s">
        <v>24</v>
      </c>
      <c r="F46" s="7">
        <v>3</v>
      </c>
      <c r="G46" s="8">
        <v>4633.21</v>
      </c>
      <c r="H46" s="7" t="s">
        <v>15</v>
      </c>
      <c r="I46" s="7" t="s">
        <v>29</v>
      </c>
      <c r="J46" s="7" t="s">
        <v>629</v>
      </c>
      <c r="K46" s="9">
        <v>13899.630000000001</v>
      </c>
      <c r="L46" s="7" t="str">
        <f>TEXT(Table1[[#This Row],[Date]],"MMM"&amp;" yyy")</f>
        <v>Jan 2025</v>
      </c>
    </row>
    <row r="47" spans="1:12" x14ac:dyDescent="0.3">
      <c r="A47" s="5">
        <v>5171</v>
      </c>
      <c r="B47" s="6">
        <v>45686</v>
      </c>
      <c r="C47" s="7" t="s">
        <v>334</v>
      </c>
      <c r="D47" s="7" t="s">
        <v>65</v>
      </c>
      <c r="E47" s="7" t="s">
        <v>14</v>
      </c>
      <c r="F47" s="7">
        <v>3</v>
      </c>
      <c r="G47" s="8">
        <v>3235.53</v>
      </c>
      <c r="H47" s="7" t="s">
        <v>15</v>
      </c>
      <c r="I47" s="7" t="s">
        <v>16</v>
      </c>
      <c r="J47" s="7" t="s">
        <v>335</v>
      </c>
      <c r="K47" s="9">
        <v>9706.59</v>
      </c>
      <c r="L47" s="7" t="str">
        <f>TEXT(Table1[[#This Row],[Date]],"MMM"&amp;" yyy")</f>
        <v>Jan 2025</v>
      </c>
    </row>
    <row r="48" spans="1:12" x14ac:dyDescent="0.3">
      <c r="A48" s="5">
        <v>8695</v>
      </c>
      <c r="B48" s="6">
        <v>45686</v>
      </c>
      <c r="C48" s="7" t="s">
        <v>245</v>
      </c>
      <c r="D48" s="7" t="s">
        <v>19</v>
      </c>
      <c r="E48" s="7" t="s">
        <v>20</v>
      </c>
      <c r="F48" s="7">
        <v>2</v>
      </c>
      <c r="G48" s="8">
        <v>3039.49</v>
      </c>
      <c r="H48" s="7" t="s">
        <v>58</v>
      </c>
      <c r="I48" s="7" t="s">
        <v>16</v>
      </c>
      <c r="J48" s="7" t="s">
        <v>246</v>
      </c>
      <c r="K48" s="9">
        <v>6078.98</v>
      </c>
      <c r="L48" s="7" t="str">
        <f>TEXT(Table1[[#This Row],[Date]],"MMM"&amp;" yyy")</f>
        <v>Jan 2025</v>
      </c>
    </row>
    <row r="49" spans="1:12" x14ac:dyDescent="0.3">
      <c r="A49" s="5">
        <v>2396</v>
      </c>
      <c r="B49" s="6">
        <v>45687</v>
      </c>
      <c r="C49" s="7" t="s">
        <v>346</v>
      </c>
      <c r="D49" s="7" t="s">
        <v>13</v>
      </c>
      <c r="E49" s="7" t="s">
        <v>24</v>
      </c>
      <c r="F49" s="7">
        <v>2</v>
      </c>
      <c r="G49" s="8">
        <v>2339.0500000000002</v>
      </c>
      <c r="H49" s="7" t="s">
        <v>15</v>
      </c>
      <c r="I49" s="7" t="s">
        <v>25</v>
      </c>
      <c r="J49" s="7" t="s">
        <v>347</v>
      </c>
      <c r="K49" s="9">
        <v>4678.1000000000004</v>
      </c>
      <c r="L49" s="7" t="str">
        <f>TEXT(Table1[[#This Row],[Date]],"MMM"&amp;" yyy")</f>
        <v>Jan 2025</v>
      </c>
    </row>
    <row r="50" spans="1:12" x14ac:dyDescent="0.3">
      <c r="A50" s="5">
        <v>3418</v>
      </c>
      <c r="B50" s="6">
        <v>45687</v>
      </c>
      <c r="C50" s="7" t="s">
        <v>117</v>
      </c>
      <c r="D50" s="7" t="s">
        <v>55</v>
      </c>
      <c r="E50" s="7" t="s">
        <v>24</v>
      </c>
      <c r="F50" s="7">
        <v>2</v>
      </c>
      <c r="G50" s="8">
        <v>2375.08</v>
      </c>
      <c r="H50" s="7" t="s">
        <v>15</v>
      </c>
      <c r="I50" s="7" t="s">
        <v>25</v>
      </c>
      <c r="J50" s="7" t="s">
        <v>118</v>
      </c>
      <c r="K50" s="9">
        <v>4750.16</v>
      </c>
      <c r="L50" s="7" t="str">
        <f>TEXT(Table1[[#This Row],[Date]],"MMM"&amp;" yyy")</f>
        <v>Jan 2025</v>
      </c>
    </row>
    <row r="51" spans="1:12" x14ac:dyDescent="0.3">
      <c r="A51" s="5">
        <v>4573</v>
      </c>
      <c r="B51" s="6">
        <v>45687</v>
      </c>
      <c r="C51" s="7" t="s">
        <v>473</v>
      </c>
      <c r="D51" s="7" t="s">
        <v>32</v>
      </c>
      <c r="E51" s="7" t="s">
        <v>14</v>
      </c>
      <c r="F51" s="7">
        <v>3</v>
      </c>
      <c r="G51" s="8">
        <v>2390.13</v>
      </c>
      <c r="H51" s="7" t="s">
        <v>58</v>
      </c>
      <c r="I51" s="7" t="s">
        <v>16</v>
      </c>
      <c r="J51" s="7" t="s">
        <v>474</v>
      </c>
      <c r="K51" s="9">
        <v>7170.39</v>
      </c>
      <c r="L51" s="7" t="str">
        <f>TEXT(Table1[[#This Row],[Date]],"MMM"&amp;" yyy")</f>
        <v>Jan 2025</v>
      </c>
    </row>
    <row r="52" spans="1:12" x14ac:dyDescent="0.3">
      <c r="A52" s="5">
        <v>5450</v>
      </c>
      <c r="B52" s="6">
        <v>45687</v>
      </c>
      <c r="C52" s="7" t="s">
        <v>525</v>
      </c>
      <c r="D52" s="7" t="s">
        <v>48</v>
      </c>
      <c r="E52" s="7" t="s">
        <v>14</v>
      </c>
      <c r="F52" s="7">
        <v>1</v>
      </c>
      <c r="G52" s="8">
        <v>2999.51</v>
      </c>
      <c r="H52" s="7" t="s">
        <v>37</v>
      </c>
      <c r="I52" s="7" t="s">
        <v>25</v>
      </c>
      <c r="J52" s="7" t="s">
        <v>526</v>
      </c>
      <c r="K52" s="9">
        <v>2999.51</v>
      </c>
      <c r="L52" s="7" t="str">
        <f>TEXT(Table1[[#This Row],[Date]],"MMM"&amp;" yyy")</f>
        <v>Jan 2025</v>
      </c>
    </row>
    <row r="53" spans="1:12" x14ac:dyDescent="0.3">
      <c r="A53" s="5">
        <v>8415</v>
      </c>
      <c r="B53" s="6">
        <v>45687</v>
      </c>
      <c r="C53" s="7" t="s">
        <v>638</v>
      </c>
      <c r="D53" s="7" t="s">
        <v>48</v>
      </c>
      <c r="E53" s="7" t="s">
        <v>14</v>
      </c>
      <c r="F53" s="7">
        <v>4</v>
      </c>
      <c r="G53" s="8">
        <v>2672.6</v>
      </c>
      <c r="H53" s="7" t="s">
        <v>58</v>
      </c>
      <c r="I53" s="7" t="s">
        <v>25</v>
      </c>
      <c r="J53" s="7" t="s">
        <v>639</v>
      </c>
      <c r="K53" s="9">
        <v>10690.4</v>
      </c>
      <c r="L53" s="7" t="str">
        <f>TEXT(Table1[[#This Row],[Date]],"MMM"&amp;" yyy")</f>
        <v>Jan 2025</v>
      </c>
    </row>
    <row r="54" spans="1:12" x14ac:dyDescent="0.3">
      <c r="A54" s="5">
        <v>6053</v>
      </c>
      <c r="B54" s="6">
        <v>45688</v>
      </c>
      <c r="C54" s="7" t="s">
        <v>209</v>
      </c>
      <c r="D54" s="7" t="s">
        <v>45</v>
      </c>
      <c r="E54" s="7" t="s">
        <v>24</v>
      </c>
      <c r="F54" s="7">
        <v>4</v>
      </c>
      <c r="G54" s="8">
        <v>2560.7399999999998</v>
      </c>
      <c r="H54" s="7" t="s">
        <v>58</v>
      </c>
      <c r="I54" s="7" t="s">
        <v>25</v>
      </c>
      <c r="J54" s="7" t="s">
        <v>210</v>
      </c>
      <c r="K54" s="9">
        <v>10242.959999999999</v>
      </c>
      <c r="L54" s="7" t="str">
        <f>TEXT(Table1[[#This Row],[Date]],"MMM"&amp;" yyy")</f>
        <v>Jan 2025</v>
      </c>
    </row>
    <row r="55" spans="1:12" x14ac:dyDescent="0.3">
      <c r="A55" s="5">
        <v>8350</v>
      </c>
      <c r="B55" s="6">
        <v>45688</v>
      </c>
      <c r="C55" s="7" t="s">
        <v>249</v>
      </c>
      <c r="D55" s="7" t="s">
        <v>45</v>
      </c>
      <c r="E55" s="7" t="s">
        <v>20</v>
      </c>
      <c r="F55" s="7">
        <v>4</v>
      </c>
      <c r="G55" s="8">
        <v>2263.9</v>
      </c>
      <c r="H55" s="7" t="s">
        <v>15</v>
      </c>
      <c r="I55" s="7" t="s">
        <v>25</v>
      </c>
      <c r="J55" s="7" t="s">
        <v>250</v>
      </c>
      <c r="K55" s="9">
        <v>9055.6</v>
      </c>
      <c r="L55" s="7" t="str">
        <f>TEXT(Table1[[#This Row],[Date]],"MMM"&amp;" yyy")</f>
        <v>Jan 2025</v>
      </c>
    </row>
    <row r="56" spans="1:12" x14ac:dyDescent="0.3">
      <c r="A56" s="5">
        <v>1277</v>
      </c>
      <c r="B56" s="6">
        <v>45689</v>
      </c>
      <c r="C56" s="7" t="s">
        <v>332</v>
      </c>
      <c r="D56" s="7" t="s">
        <v>13</v>
      </c>
      <c r="E56" s="7" t="s">
        <v>20</v>
      </c>
      <c r="F56" s="7">
        <v>3</v>
      </c>
      <c r="G56" s="8">
        <v>3093.25</v>
      </c>
      <c r="H56" s="7" t="s">
        <v>15</v>
      </c>
      <c r="I56" s="7" t="s">
        <v>29</v>
      </c>
      <c r="J56" s="7" t="s">
        <v>333</v>
      </c>
      <c r="K56" s="9">
        <v>9279.75</v>
      </c>
      <c r="L56" s="7" t="str">
        <f>TEXT(Table1[[#This Row],[Date]],"MMM"&amp;" yyy")</f>
        <v>Feb 2025</v>
      </c>
    </row>
    <row r="57" spans="1:12" x14ac:dyDescent="0.3">
      <c r="A57" s="5">
        <v>2625</v>
      </c>
      <c r="B57" s="6">
        <v>45689</v>
      </c>
      <c r="C57" s="7" t="s">
        <v>326</v>
      </c>
      <c r="D57" s="7" t="s">
        <v>19</v>
      </c>
      <c r="E57" s="7" t="s">
        <v>14</v>
      </c>
      <c r="F57" s="7">
        <v>2</v>
      </c>
      <c r="G57" s="8">
        <v>2184.73</v>
      </c>
      <c r="H57" s="7" t="s">
        <v>37</v>
      </c>
      <c r="I57" s="7" t="s">
        <v>25</v>
      </c>
      <c r="J57" s="7" t="s">
        <v>327</v>
      </c>
      <c r="K57" s="9">
        <v>4369.46</v>
      </c>
      <c r="L57" s="7" t="str">
        <f>TEXT(Table1[[#This Row],[Date]],"MMM"&amp;" yyy")</f>
        <v>Feb 2025</v>
      </c>
    </row>
    <row r="58" spans="1:12" x14ac:dyDescent="0.3">
      <c r="A58" s="5">
        <v>6010</v>
      </c>
      <c r="B58" s="6">
        <v>45689</v>
      </c>
      <c r="C58" s="7" t="s">
        <v>50</v>
      </c>
      <c r="D58" s="7" t="s">
        <v>32</v>
      </c>
      <c r="E58" s="7" t="s">
        <v>20</v>
      </c>
      <c r="F58" s="7">
        <v>3</v>
      </c>
      <c r="G58" s="8">
        <v>416.25</v>
      </c>
      <c r="H58" s="7" t="s">
        <v>15</v>
      </c>
      <c r="I58" s="7" t="s">
        <v>29</v>
      </c>
      <c r="J58" s="7" t="s">
        <v>51</v>
      </c>
      <c r="K58" s="9">
        <v>1248.75</v>
      </c>
      <c r="L58" s="7" t="str">
        <f>TEXT(Table1[[#This Row],[Date]],"MMM"&amp;" yyy")</f>
        <v>Feb 2025</v>
      </c>
    </row>
    <row r="59" spans="1:12" x14ac:dyDescent="0.3">
      <c r="A59" s="5">
        <v>7942</v>
      </c>
      <c r="B59" s="6">
        <v>45689</v>
      </c>
      <c r="C59" s="7" t="s">
        <v>517</v>
      </c>
      <c r="D59" s="7" t="s">
        <v>42</v>
      </c>
      <c r="E59" s="7" t="s">
        <v>20</v>
      </c>
      <c r="F59" s="7">
        <v>3</v>
      </c>
      <c r="G59" s="8">
        <v>4784.74</v>
      </c>
      <c r="H59" s="7" t="s">
        <v>37</v>
      </c>
      <c r="I59" s="7" t="s">
        <v>16</v>
      </c>
      <c r="J59" s="7" t="s">
        <v>518</v>
      </c>
      <c r="K59" s="9">
        <v>14354.22</v>
      </c>
      <c r="L59" s="7" t="str">
        <f>TEXT(Table1[[#This Row],[Date]],"MMM"&amp;" yyy")</f>
        <v>Feb 2025</v>
      </c>
    </row>
    <row r="60" spans="1:12" x14ac:dyDescent="0.3">
      <c r="A60" s="5">
        <v>7020</v>
      </c>
      <c r="B60" s="6">
        <v>45690</v>
      </c>
      <c r="C60" s="7" t="s">
        <v>499</v>
      </c>
      <c r="D60" s="7" t="s">
        <v>23</v>
      </c>
      <c r="E60" s="7" t="s">
        <v>24</v>
      </c>
      <c r="F60" s="7">
        <v>2</v>
      </c>
      <c r="G60" s="8">
        <v>4170.5200000000004</v>
      </c>
      <c r="H60" s="7" t="s">
        <v>37</v>
      </c>
      <c r="I60" s="7" t="s">
        <v>16</v>
      </c>
      <c r="J60" s="7" t="s">
        <v>500</v>
      </c>
      <c r="K60" s="9">
        <v>8341.0400000000009</v>
      </c>
      <c r="L60" s="7" t="str">
        <f>TEXT(Table1[[#This Row],[Date]],"MMM"&amp;" yyy")</f>
        <v>Feb 2025</v>
      </c>
    </row>
    <row r="61" spans="1:12" x14ac:dyDescent="0.3">
      <c r="A61" s="5">
        <v>5569</v>
      </c>
      <c r="B61" s="6">
        <v>45691</v>
      </c>
      <c r="C61" s="7" t="s">
        <v>31</v>
      </c>
      <c r="D61" s="7" t="s">
        <v>32</v>
      </c>
      <c r="E61" s="7" t="s">
        <v>24</v>
      </c>
      <c r="F61" s="7">
        <v>4</v>
      </c>
      <c r="G61" s="8">
        <v>3540.59</v>
      </c>
      <c r="H61" s="7" t="s">
        <v>15</v>
      </c>
      <c r="I61" s="7" t="s">
        <v>16</v>
      </c>
      <c r="J61" s="7" t="s">
        <v>33</v>
      </c>
      <c r="K61" s="9">
        <v>14162.36</v>
      </c>
      <c r="L61" s="7" t="str">
        <f>TEXT(Table1[[#This Row],[Date]],"MMM"&amp;" yyy")</f>
        <v>Feb 2025</v>
      </c>
    </row>
    <row r="62" spans="1:12" x14ac:dyDescent="0.3">
      <c r="A62" s="5">
        <v>5381</v>
      </c>
      <c r="B62" s="6">
        <v>45693</v>
      </c>
      <c r="C62" s="7" t="s">
        <v>636</v>
      </c>
      <c r="D62" s="7" t="s">
        <v>48</v>
      </c>
      <c r="E62" s="7" t="s">
        <v>24</v>
      </c>
      <c r="F62" s="7">
        <v>1</v>
      </c>
      <c r="G62" s="8">
        <v>4754.7700000000004</v>
      </c>
      <c r="H62" s="7" t="s">
        <v>58</v>
      </c>
      <c r="I62" s="7" t="s">
        <v>25</v>
      </c>
      <c r="J62" s="7" t="s">
        <v>637</v>
      </c>
      <c r="K62" s="9">
        <v>4754.7700000000004</v>
      </c>
      <c r="L62" s="7" t="str">
        <f>TEXT(Table1[[#This Row],[Date]],"MMM"&amp;" yyy")</f>
        <v>Feb 2025</v>
      </c>
    </row>
    <row r="63" spans="1:12" x14ac:dyDescent="0.3">
      <c r="A63" s="5">
        <v>4998</v>
      </c>
      <c r="B63" s="6">
        <v>45694</v>
      </c>
      <c r="C63" s="7" t="s">
        <v>441</v>
      </c>
      <c r="D63" s="7" t="s">
        <v>28</v>
      </c>
      <c r="E63" s="7" t="s">
        <v>14</v>
      </c>
      <c r="F63" s="7">
        <v>2</v>
      </c>
      <c r="G63" s="8">
        <v>774.94</v>
      </c>
      <c r="H63" s="7" t="s">
        <v>37</v>
      </c>
      <c r="I63" s="7" t="s">
        <v>29</v>
      </c>
      <c r="J63" s="7" t="s">
        <v>442</v>
      </c>
      <c r="K63" s="9">
        <v>1549.88</v>
      </c>
      <c r="L63" s="7" t="str">
        <f>TEXT(Table1[[#This Row],[Date]],"MMM"&amp;" yyy")</f>
        <v>Feb 2025</v>
      </c>
    </row>
    <row r="64" spans="1:12" x14ac:dyDescent="0.3">
      <c r="A64" s="5">
        <v>6623</v>
      </c>
      <c r="B64" s="6">
        <v>45694</v>
      </c>
      <c r="C64" s="7" t="s">
        <v>632</v>
      </c>
      <c r="D64" s="7" t="s">
        <v>42</v>
      </c>
      <c r="E64" s="7" t="s">
        <v>20</v>
      </c>
      <c r="F64" s="7">
        <v>4</v>
      </c>
      <c r="G64" s="8">
        <v>4504.32</v>
      </c>
      <c r="H64" s="7" t="s">
        <v>58</v>
      </c>
      <c r="I64" s="7" t="s">
        <v>29</v>
      </c>
      <c r="J64" s="7" t="s">
        <v>633</v>
      </c>
      <c r="K64" s="9">
        <v>18017.28</v>
      </c>
      <c r="L64" s="7" t="str">
        <f>TEXT(Table1[[#This Row],[Date]],"MMM"&amp;" yyy")</f>
        <v>Feb 2025</v>
      </c>
    </row>
    <row r="65" spans="1:12" x14ac:dyDescent="0.3">
      <c r="A65" s="5">
        <v>1457</v>
      </c>
      <c r="B65" s="6">
        <v>45695</v>
      </c>
      <c r="C65" s="7" t="s">
        <v>219</v>
      </c>
      <c r="D65" s="7" t="s">
        <v>32</v>
      </c>
      <c r="E65" s="7" t="s">
        <v>20</v>
      </c>
      <c r="F65" s="7">
        <v>3</v>
      </c>
      <c r="G65" s="8">
        <v>984.41</v>
      </c>
      <c r="H65" s="7" t="s">
        <v>15</v>
      </c>
      <c r="I65" s="7" t="s">
        <v>16</v>
      </c>
      <c r="J65" s="7" t="s">
        <v>220</v>
      </c>
      <c r="K65" s="9">
        <v>2953.23</v>
      </c>
      <c r="L65" s="7" t="str">
        <f>TEXT(Table1[[#This Row],[Date]],"MMM"&amp;" yyy")</f>
        <v>Feb 2025</v>
      </c>
    </row>
    <row r="66" spans="1:12" x14ac:dyDescent="0.3">
      <c r="A66" s="5">
        <v>7522</v>
      </c>
      <c r="B66" s="6">
        <v>45696</v>
      </c>
      <c r="C66" s="7" t="s">
        <v>147</v>
      </c>
      <c r="D66" s="7" t="s">
        <v>13</v>
      </c>
      <c r="E66" s="7" t="s">
        <v>24</v>
      </c>
      <c r="F66" s="7">
        <v>4</v>
      </c>
      <c r="G66" s="8">
        <v>4102.9399999999996</v>
      </c>
      <c r="H66" s="7" t="s">
        <v>58</v>
      </c>
      <c r="I66" s="7" t="s">
        <v>16</v>
      </c>
      <c r="J66" s="7" t="s">
        <v>148</v>
      </c>
      <c r="K66" s="9">
        <v>16411.759999999998</v>
      </c>
      <c r="L66" s="7" t="str">
        <f>TEXT(Table1[[#This Row],[Date]],"MMM"&amp;" yyy")</f>
        <v>Feb 2025</v>
      </c>
    </row>
    <row r="67" spans="1:12" x14ac:dyDescent="0.3">
      <c r="A67" s="5">
        <v>2892</v>
      </c>
      <c r="B67" s="6">
        <v>45697</v>
      </c>
      <c r="C67" s="7" t="s">
        <v>312</v>
      </c>
      <c r="D67" s="7" t="s">
        <v>42</v>
      </c>
      <c r="E67" s="7" t="s">
        <v>14</v>
      </c>
      <c r="F67" s="7">
        <v>3</v>
      </c>
      <c r="G67" s="8">
        <v>4656.28</v>
      </c>
      <c r="H67" s="7" t="s">
        <v>37</v>
      </c>
      <c r="I67" s="7" t="s">
        <v>16</v>
      </c>
      <c r="J67" s="7" t="s">
        <v>313</v>
      </c>
      <c r="K67" s="9">
        <v>13968.84</v>
      </c>
      <c r="L67" s="7" t="str">
        <f>TEXT(Table1[[#This Row],[Date]],"MMM"&amp;" yyy")</f>
        <v>Feb 2025</v>
      </c>
    </row>
    <row r="68" spans="1:12" x14ac:dyDescent="0.3">
      <c r="A68" s="5">
        <v>4861</v>
      </c>
      <c r="B68" s="6">
        <v>45697</v>
      </c>
      <c r="C68" s="7" t="s">
        <v>157</v>
      </c>
      <c r="D68" s="7" t="s">
        <v>32</v>
      </c>
      <c r="E68" s="7" t="s">
        <v>14</v>
      </c>
      <c r="F68" s="7">
        <v>1</v>
      </c>
      <c r="G68" s="8">
        <v>4651.71</v>
      </c>
      <c r="H68" s="7" t="s">
        <v>37</v>
      </c>
      <c r="I68" s="7" t="s">
        <v>25</v>
      </c>
      <c r="J68" s="7" t="s">
        <v>158</v>
      </c>
      <c r="K68" s="9">
        <v>4651.71</v>
      </c>
      <c r="L68" s="7" t="str">
        <f>TEXT(Table1[[#This Row],[Date]],"MMM"&amp;" yyy")</f>
        <v>Feb 2025</v>
      </c>
    </row>
    <row r="69" spans="1:12" x14ac:dyDescent="0.3">
      <c r="A69" s="5">
        <v>8802</v>
      </c>
      <c r="B69" s="6">
        <v>45697</v>
      </c>
      <c r="C69" s="7" t="s">
        <v>149</v>
      </c>
      <c r="D69" s="7" t="s">
        <v>65</v>
      </c>
      <c r="E69" s="7" t="s">
        <v>20</v>
      </c>
      <c r="F69" s="7">
        <v>3</v>
      </c>
      <c r="G69" s="8">
        <v>3766.2</v>
      </c>
      <c r="H69" s="7" t="s">
        <v>58</v>
      </c>
      <c r="I69" s="7" t="s">
        <v>25</v>
      </c>
      <c r="J69" s="7" t="s">
        <v>150</v>
      </c>
      <c r="K69" s="9">
        <v>11298.599999999999</v>
      </c>
      <c r="L69" s="7" t="str">
        <f>TEXT(Table1[[#This Row],[Date]],"MMM"&amp;" yyy")</f>
        <v>Feb 2025</v>
      </c>
    </row>
    <row r="70" spans="1:12" x14ac:dyDescent="0.3">
      <c r="A70" s="5">
        <v>4684</v>
      </c>
      <c r="B70" s="6">
        <v>45698</v>
      </c>
      <c r="C70" s="7" t="s">
        <v>185</v>
      </c>
      <c r="D70" s="7" t="s">
        <v>55</v>
      </c>
      <c r="E70" s="7" t="s">
        <v>20</v>
      </c>
      <c r="F70" s="7">
        <v>4</v>
      </c>
      <c r="G70" s="8">
        <v>2371.88</v>
      </c>
      <c r="H70" s="7" t="s">
        <v>58</v>
      </c>
      <c r="I70" s="7" t="s">
        <v>29</v>
      </c>
      <c r="J70" s="7" t="s">
        <v>186</v>
      </c>
      <c r="K70" s="9">
        <v>9487.52</v>
      </c>
      <c r="L70" s="7" t="str">
        <f>TEXT(Table1[[#This Row],[Date]],"MMM"&amp;" yyy")</f>
        <v>Feb 2025</v>
      </c>
    </row>
    <row r="71" spans="1:12" x14ac:dyDescent="0.3">
      <c r="A71" s="5">
        <v>6300</v>
      </c>
      <c r="B71" s="6">
        <v>45698</v>
      </c>
      <c r="C71" s="7" t="s">
        <v>289</v>
      </c>
      <c r="D71" s="7" t="s">
        <v>19</v>
      </c>
      <c r="E71" s="7" t="s">
        <v>20</v>
      </c>
      <c r="F71" s="7">
        <v>1</v>
      </c>
      <c r="G71" s="8">
        <v>3817.68</v>
      </c>
      <c r="H71" s="7" t="s">
        <v>58</v>
      </c>
      <c r="I71" s="7" t="s">
        <v>16</v>
      </c>
      <c r="J71" s="7" t="s">
        <v>290</v>
      </c>
      <c r="K71" s="9">
        <v>3817.68</v>
      </c>
      <c r="L71" s="7" t="str">
        <f>TEXT(Table1[[#This Row],[Date]],"MMM"&amp;" yyy")</f>
        <v>Feb 2025</v>
      </c>
    </row>
    <row r="72" spans="1:12" x14ac:dyDescent="0.3">
      <c r="A72" s="5">
        <v>7271</v>
      </c>
      <c r="B72" s="6">
        <v>45698</v>
      </c>
      <c r="C72" s="7" t="s">
        <v>243</v>
      </c>
      <c r="D72" s="7" t="s">
        <v>28</v>
      </c>
      <c r="E72" s="7" t="s">
        <v>20</v>
      </c>
      <c r="F72" s="7">
        <v>5</v>
      </c>
      <c r="G72" s="8">
        <v>3659.57</v>
      </c>
      <c r="H72" s="7" t="s">
        <v>58</v>
      </c>
      <c r="I72" s="7" t="s">
        <v>29</v>
      </c>
      <c r="J72" s="7" t="s">
        <v>244</v>
      </c>
      <c r="K72" s="9">
        <v>18297.850000000002</v>
      </c>
      <c r="L72" s="7" t="str">
        <f>TEXT(Table1[[#This Row],[Date]],"MMM"&amp;" yyy")</f>
        <v>Feb 2025</v>
      </c>
    </row>
    <row r="73" spans="1:12" x14ac:dyDescent="0.3">
      <c r="A73" s="5">
        <v>8698</v>
      </c>
      <c r="B73" s="6">
        <v>45698</v>
      </c>
      <c r="C73" s="7" t="s">
        <v>350</v>
      </c>
      <c r="D73" s="7" t="s">
        <v>23</v>
      </c>
      <c r="E73" s="7" t="s">
        <v>24</v>
      </c>
      <c r="F73" s="7">
        <v>3</v>
      </c>
      <c r="G73" s="8">
        <v>359.65</v>
      </c>
      <c r="H73" s="7" t="s">
        <v>15</v>
      </c>
      <c r="I73" s="7" t="s">
        <v>25</v>
      </c>
      <c r="J73" s="7" t="s">
        <v>351</v>
      </c>
      <c r="K73" s="9">
        <v>1078.9499999999998</v>
      </c>
      <c r="L73" s="7" t="str">
        <f>TEXT(Table1[[#This Row],[Date]],"MMM"&amp;" yyy")</f>
        <v>Feb 2025</v>
      </c>
    </row>
    <row r="74" spans="1:12" x14ac:dyDescent="0.3">
      <c r="A74" s="5">
        <v>9351</v>
      </c>
      <c r="B74" s="6">
        <v>45698</v>
      </c>
      <c r="C74" s="7" t="s">
        <v>447</v>
      </c>
      <c r="D74" s="7" t="s">
        <v>28</v>
      </c>
      <c r="E74" s="7" t="s">
        <v>20</v>
      </c>
      <c r="F74" s="7">
        <v>1</v>
      </c>
      <c r="G74" s="8">
        <v>4653.99</v>
      </c>
      <c r="H74" s="7" t="s">
        <v>58</v>
      </c>
      <c r="I74" s="7" t="s">
        <v>16</v>
      </c>
      <c r="J74" s="7" t="s">
        <v>448</v>
      </c>
      <c r="K74" s="9">
        <v>4653.99</v>
      </c>
      <c r="L74" s="7" t="str">
        <f>TEXT(Table1[[#This Row],[Date]],"MMM"&amp;" yyy")</f>
        <v>Feb 2025</v>
      </c>
    </row>
    <row r="75" spans="1:12" x14ac:dyDescent="0.3">
      <c r="A75" s="5">
        <v>6415</v>
      </c>
      <c r="B75" s="6">
        <v>45699</v>
      </c>
      <c r="C75" s="7" t="s">
        <v>171</v>
      </c>
      <c r="D75" s="7" t="s">
        <v>23</v>
      </c>
      <c r="E75" s="7" t="s">
        <v>20</v>
      </c>
      <c r="F75" s="7">
        <v>2</v>
      </c>
      <c r="G75" s="8">
        <v>2168.88</v>
      </c>
      <c r="H75" s="7" t="s">
        <v>58</v>
      </c>
      <c r="I75" s="7" t="s">
        <v>16</v>
      </c>
      <c r="J75" s="7" t="s">
        <v>172</v>
      </c>
      <c r="K75" s="9">
        <v>4337.76</v>
      </c>
      <c r="L75" s="7" t="str">
        <f>TEXT(Table1[[#This Row],[Date]],"MMM"&amp;" yyy")</f>
        <v>Feb 2025</v>
      </c>
    </row>
    <row r="76" spans="1:12" x14ac:dyDescent="0.3">
      <c r="A76" s="5">
        <v>1373</v>
      </c>
      <c r="B76" s="6">
        <v>45700</v>
      </c>
      <c r="C76" s="7" t="s">
        <v>529</v>
      </c>
      <c r="D76" s="7" t="s">
        <v>23</v>
      </c>
      <c r="E76" s="7" t="s">
        <v>20</v>
      </c>
      <c r="F76" s="7">
        <v>2</v>
      </c>
      <c r="G76" s="8">
        <v>4911.09</v>
      </c>
      <c r="H76" s="7" t="s">
        <v>15</v>
      </c>
      <c r="I76" s="7" t="s">
        <v>16</v>
      </c>
      <c r="J76" s="7" t="s">
        <v>379</v>
      </c>
      <c r="K76" s="9">
        <v>9822.18</v>
      </c>
      <c r="L76" s="7" t="str">
        <f>TEXT(Table1[[#This Row],[Date]],"MMM"&amp;" yyy")</f>
        <v>Feb 2025</v>
      </c>
    </row>
    <row r="77" spans="1:12" x14ac:dyDescent="0.3">
      <c r="A77" s="5">
        <v>4750</v>
      </c>
      <c r="B77" s="6">
        <v>45700</v>
      </c>
      <c r="C77" s="7" t="s">
        <v>99</v>
      </c>
      <c r="D77" s="7" t="s">
        <v>23</v>
      </c>
      <c r="E77" s="7" t="s">
        <v>20</v>
      </c>
      <c r="F77" s="7">
        <v>5</v>
      </c>
      <c r="G77" s="8">
        <v>4220.3599999999997</v>
      </c>
      <c r="H77" s="7" t="s">
        <v>58</v>
      </c>
      <c r="I77" s="7" t="s">
        <v>16</v>
      </c>
      <c r="J77" s="7" t="s">
        <v>100</v>
      </c>
      <c r="K77" s="9">
        <v>21101.8</v>
      </c>
      <c r="L77" s="7" t="str">
        <f>TEXT(Table1[[#This Row],[Date]],"MMM"&amp;" yyy")</f>
        <v>Feb 2025</v>
      </c>
    </row>
    <row r="78" spans="1:12" x14ac:dyDescent="0.3">
      <c r="A78" s="5">
        <v>5104</v>
      </c>
      <c r="B78" s="6">
        <v>45700</v>
      </c>
      <c r="C78" s="7" t="s">
        <v>509</v>
      </c>
      <c r="D78" s="7" t="s">
        <v>13</v>
      </c>
      <c r="E78" s="7" t="s">
        <v>20</v>
      </c>
      <c r="F78" s="7">
        <v>2</v>
      </c>
      <c r="G78" s="8">
        <v>3104.78</v>
      </c>
      <c r="H78" s="7" t="s">
        <v>37</v>
      </c>
      <c r="I78" s="7" t="s">
        <v>29</v>
      </c>
      <c r="J78" s="7" t="s">
        <v>510</v>
      </c>
      <c r="K78" s="9">
        <v>6209.56</v>
      </c>
      <c r="L78" s="7" t="str">
        <f>TEXT(Table1[[#This Row],[Date]],"MMM"&amp;" yyy")</f>
        <v>Feb 2025</v>
      </c>
    </row>
    <row r="79" spans="1:12" x14ac:dyDescent="0.3">
      <c r="A79" s="5">
        <v>7462</v>
      </c>
      <c r="B79" s="6">
        <v>45700</v>
      </c>
      <c r="C79" s="7" t="s">
        <v>273</v>
      </c>
      <c r="D79" s="7" t="s">
        <v>23</v>
      </c>
      <c r="E79" s="7" t="s">
        <v>24</v>
      </c>
      <c r="F79" s="7">
        <v>3</v>
      </c>
      <c r="G79" s="8">
        <v>751.97</v>
      </c>
      <c r="H79" s="7" t="s">
        <v>37</v>
      </c>
      <c r="I79" s="7" t="s">
        <v>16</v>
      </c>
      <c r="J79" s="7" t="s">
        <v>274</v>
      </c>
      <c r="K79" s="9">
        <v>2255.91</v>
      </c>
      <c r="L79" s="7" t="str">
        <f>TEXT(Table1[[#This Row],[Date]],"MMM"&amp;" yyy")</f>
        <v>Feb 2025</v>
      </c>
    </row>
    <row r="80" spans="1:12" x14ac:dyDescent="0.3">
      <c r="A80" s="5">
        <v>2019</v>
      </c>
      <c r="B80" s="6">
        <v>45701</v>
      </c>
      <c r="C80" s="7" t="s">
        <v>658</v>
      </c>
      <c r="D80" s="7" t="s">
        <v>45</v>
      </c>
      <c r="E80" s="7" t="s">
        <v>24</v>
      </c>
      <c r="F80" s="7">
        <v>2</v>
      </c>
      <c r="G80" s="8">
        <v>3746.03</v>
      </c>
      <c r="H80" s="7" t="s">
        <v>58</v>
      </c>
      <c r="I80" s="7" t="s">
        <v>29</v>
      </c>
      <c r="J80" s="7" t="s">
        <v>659</v>
      </c>
      <c r="K80" s="9">
        <v>7492.06</v>
      </c>
      <c r="L80" s="7" t="str">
        <f>TEXT(Table1[[#This Row],[Date]],"MMM"&amp;" yyy")</f>
        <v>Feb 2025</v>
      </c>
    </row>
    <row r="81" spans="1:12" x14ac:dyDescent="0.3">
      <c r="A81" s="5">
        <v>5228</v>
      </c>
      <c r="B81" s="6">
        <v>45703</v>
      </c>
      <c r="C81" s="7" t="s">
        <v>352</v>
      </c>
      <c r="D81" s="7" t="s">
        <v>48</v>
      </c>
      <c r="E81" s="7" t="s">
        <v>14</v>
      </c>
      <c r="F81" s="7">
        <v>1</v>
      </c>
      <c r="G81" s="8">
        <v>4213.66</v>
      </c>
      <c r="H81" s="7" t="s">
        <v>58</v>
      </c>
      <c r="I81" s="7" t="s">
        <v>29</v>
      </c>
      <c r="J81" s="7" t="s">
        <v>353</v>
      </c>
      <c r="K81" s="9">
        <v>4213.66</v>
      </c>
      <c r="L81" s="7" t="str">
        <f>TEXT(Table1[[#This Row],[Date]],"MMM"&amp;" yyy")</f>
        <v>Feb 2025</v>
      </c>
    </row>
    <row r="82" spans="1:12" x14ac:dyDescent="0.3">
      <c r="A82" s="5">
        <v>6653</v>
      </c>
      <c r="B82" s="6">
        <v>45703</v>
      </c>
      <c r="C82" s="7" t="s">
        <v>113</v>
      </c>
      <c r="D82" s="7" t="s">
        <v>32</v>
      </c>
      <c r="E82" s="7" t="s">
        <v>20</v>
      </c>
      <c r="F82" s="7">
        <v>4</v>
      </c>
      <c r="G82" s="8">
        <v>3577.3</v>
      </c>
      <c r="H82" s="7" t="s">
        <v>15</v>
      </c>
      <c r="I82" s="7" t="s">
        <v>29</v>
      </c>
      <c r="J82" s="7" t="s">
        <v>114</v>
      </c>
      <c r="K82" s="9">
        <v>14309.2</v>
      </c>
      <c r="L82" s="7" t="str">
        <f>TEXT(Table1[[#This Row],[Date]],"MMM"&amp;" yyy")</f>
        <v>Feb 2025</v>
      </c>
    </row>
    <row r="83" spans="1:12" x14ac:dyDescent="0.3">
      <c r="A83" s="5">
        <v>8624</v>
      </c>
      <c r="B83" s="6">
        <v>45703</v>
      </c>
      <c r="C83" s="7" t="s">
        <v>420</v>
      </c>
      <c r="D83" s="7" t="s">
        <v>42</v>
      </c>
      <c r="E83" s="7" t="s">
        <v>20</v>
      </c>
      <c r="F83" s="7">
        <v>2</v>
      </c>
      <c r="G83" s="8">
        <v>1095.1199999999999</v>
      </c>
      <c r="H83" s="7" t="s">
        <v>58</v>
      </c>
      <c r="I83" s="7" t="s">
        <v>29</v>
      </c>
      <c r="J83" s="7" t="s">
        <v>421</v>
      </c>
      <c r="K83" s="9">
        <v>2190.2399999999998</v>
      </c>
      <c r="L83" s="7" t="str">
        <f>TEXT(Table1[[#This Row],[Date]],"MMM"&amp;" yyy")</f>
        <v>Feb 2025</v>
      </c>
    </row>
    <row r="84" spans="1:12" x14ac:dyDescent="0.3">
      <c r="A84" s="5">
        <v>9246</v>
      </c>
      <c r="B84" s="6">
        <v>45703</v>
      </c>
      <c r="C84" s="7" t="s">
        <v>424</v>
      </c>
      <c r="D84" s="7" t="s">
        <v>55</v>
      </c>
      <c r="E84" s="7" t="s">
        <v>20</v>
      </c>
      <c r="F84" s="7">
        <v>1</v>
      </c>
      <c r="G84" s="8">
        <v>1374.09</v>
      </c>
      <c r="H84" s="7" t="s">
        <v>37</v>
      </c>
      <c r="I84" s="7" t="s">
        <v>29</v>
      </c>
      <c r="J84" s="7" t="s">
        <v>425</v>
      </c>
      <c r="K84" s="9">
        <v>1374.09</v>
      </c>
      <c r="L84" s="7" t="str">
        <f>TEXT(Table1[[#This Row],[Date]],"MMM"&amp;" yyy")</f>
        <v>Feb 2025</v>
      </c>
    </row>
    <row r="85" spans="1:12" x14ac:dyDescent="0.3">
      <c r="A85" s="5">
        <v>9334</v>
      </c>
      <c r="B85" s="6">
        <v>45703</v>
      </c>
      <c r="C85" s="7" t="s">
        <v>314</v>
      </c>
      <c r="D85" s="7" t="s">
        <v>19</v>
      </c>
      <c r="E85" s="7" t="s">
        <v>24</v>
      </c>
      <c r="F85" s="7">
        <v>3</v>
      </c>
      <c r="G85" s="8">
        <v>3276.39</v>
      </c>
      <c r="H85" s="7" t="s">
        <v>58</v>
      </c>
      <c r="I85" s="7" t="s">
        <v>16</v>
      </c>
      <c r="J85" s="7" t="s">
        <v>315</v>
      </c>
      <c r="K85" s="9">
        <v>9829.17</v>
      </c>
      <c r="L85" s="7" t="str">
        <f>TEXT(Table1[[#This Row],[Date]],"MMM"&amp;" yyy")</f>
        <v>Feb 2025</v>
      </c>
    </row>
    <row r="86" spans="1:12" x14ac:dyDescent="0.3">
      <c r="A86" s="5">
        <v>9459</v>
      </c>
      <c r="B86" s="6">
        <v>45703</v>
      </c>
      <c r="C86" s="7" t="s">
        <v>422</v>
      </c>
      <c r="D86" s="7" t="s">
        <v>32</v>
      </c>
      <c r="E86" s="7" t="s">
        <v>24</v>
      </c>
      <c r="F86" s="7">
        <v>4</v>
      </c>
      <c r="G86" s="8">
        <v>4027.79</v>
      </c>
      <c r="H86" s="7" t="s">
        <v>15</v>
      </c>
      <c r="I86" s="7" t="s">
        <v>29</v>
      </c>
      <c r="J86" s="7" t="s">
        <v>423</v>
      </c>
      <c r="K86" s="9">
        <v>16111.16</v>
      </c>
      <c r="L86" s="7" t="str">
        <f>TEXT(Table1[[#This Row],[Date]],"MMM"&amp;" yyy")</f>
        <v>Feb 2025</v>
      </c>
    </row>
    <row r="87" spans="1:12" x14ac:dyDescent="0.3">
      <c r="A87" s="5">
        <v>8036</v>
      </c>
      <c r="B87" s="6">
        <v>45704</v>
      </c>
      <c r="C87" s="7" t="s">
        <v>137</v>
      </c>
      <c r="D87" s="7" t="s">
        <v>42</v>
      </c>
      <c r="E87" s="7" t="s">
        <v>24</v>
      </c>
      <c r="F87" s="7">
        <v>5</v>
      </c>
      <c r="G87" s="8">
        <v>4466.75</v>
      </c>
      <c r="H87" s="7" t="s">
        <v>15</v>
      </c>
      <c r="I87" s="7" t="s">
        <v>16</v>
      </c>
      <c r="J87" s="7" t="s">
        <v>138</v>
      </c>
      <c r="K87" s="9">
        <v>22333.75</v>
      </c>
      <c r="L87" s="7" t="str">
        <f>TEXT(Table1[[#This Row],[Date]],"MMM"&amp;" yyy")</f>
        <v>Feb 2025</v>
      </c>
    </row>
    <row r="88" spans="1:12" x14ac:dyDescent="0.3">
      <c r="A88" s="5">
        <v>6873</v>
      </c>
      <c r="B88" s="6">
        <v>45706</v>
      </c>
      <c r="C88" s="7" t="s">
        <v>646</v>
      </c>
      <c r="D88" s="7" t="s">
        <v>19</v>
      </c>
      <c r="E88" s="7" t="s">
        <v>20</v>
      </c>
      <c r="F88" s="7">
        <v>4</v>
      </c>
      <c r="G88" s="8">
        <v>3473.61</v>
      </c>
      <c r="H88" s="7" t="s">
        <v>58</v>
      </c>
      <c r="I88" s="7" t="s">
        <v>25</v>
      </c>
      <c r="J88" s="7" t="s">
        <v>647</v>
      </c>
      <c r="K88" s="9">
        <v>13894.44</v>
      </c>
      <c r="L88" s="7" t="str">
        <f>TEXT(Table1[[#This Row],[Date]],"MMM"&amp;" yyy")</f>
        <v>Feb 2025</v>
      </c>
    </row>
    <row r="89" spans="1:12" x14ac:dyDescent="0.3">
      <c r="A89" s="5">
        <v>8152</v>
      </c>
      <c r="B89" s="6">
        <v>45706</v>
      </c>
      <c r="C89" s="7" t="s">
        <v>303</v>
      </c>
      <c r="D89" s="7" t="s">
        <v>45</v>
      </c>
      <c r="E89" s="7" t="s">
        <v>24</v>
      </c>
      <c r="F89" s="7">
        <v>5</v>
      </c>
      <c r="G89" s="8">
        <v>1669.03</v>
      </c>
      <c r="H89" s="7" t="s">
        <v>37</v>
      </c>
      <c r="I89" s="7" t="s">
        <v>29</v>
      </c>
      <c r="J89" s="7" t="s">
        <v>304</v>
      </c>
      <c r="K89" s="9">
        <v>8345.15</v>
      </c>
      <c r="L89" s="7" t="str">
        <f>TEXT(Table1[[#This Row],[Date]],"MMM"&amp;" yyy")</f>
        <v>Feb 2025</v>
      </c>
    </row>
    <row r="90" spans="1:12" x14ac:dyDescent="0.3">
      <c r="A90" s="5">
        <v>1206</v>
      </c>
      <c r="B90" s="6">
        <v>45707</v>
      </c>
      <c r="C90" s="7" t="s">
        <v>451</v>
      </c>
      <c r="D90" s="7" t="s">
        <v>32</v>
      </c>
      <c r="E90" s="7" t="s">
        <v>14</v>
      </c>
      <c r="F90" s="7">
        <v>2</v>
      </c>
      <c r="G90" s="8">
        <v>2636.05</v>
      </c>
      <c r="H90" s="7" t="s">
        <v>15</v>
      </c>
      <c r="I90" s="7" t="s">
        <v>16</v>
      </c>
      <c r="J90" s="7" t="s">
        <v>452</v>
      </c>
      <c r="K90" s="9">
        <v>5272.1</v>
      </c>
      <c r="L90" s="7" t="str">
        <f>TEXT(Table1[[#This Row],[Date]],"MMM"&amp;" yyy")</f>
        <v>Feb 2025</v>
      </c>
    </row>
    <row r="91" spans="1:12" x14ac:dyDescent="0.3">
      <c r="A91" s="5">
        <v>2009</v>
      </c>
      <c r="B91" s="6">
        <v>45707</v>
      </c>
      <c r="C91" s="7" t="s">
        <v>263</v>
      </c>
      <c r="D91" s="7" t="s">
        <v>23</v>
      </c>
      <c r="E91" s="7" t="s">
        <v>24</v>
      </c>
      <c r="F91" s="7">
        <v>4</v>
      </c>
      <c r="G91" s="8">
        <v>4033.73</v>
      </c>
      <c r="H91" s="7" t="s">
        <v>15</v>
      </c>
      <c r="I91" s="7" t="s">
        <v>16</v>
      </c>
      <c r="J91" s="7" t="s">
        <v>264</v>
      </c>
      <c r="K91" s="9">
        <v>16134.92</v>
      </c>
      <c r="L91" s="7" t="str">
        <f>TEXT(Table1[[#This Row],[Date]],"MMM"&amp;" yyy")</f>
        <v>Feb 2025</v>
      </c>
    </row>
    <row r="92" spans="1:12" x14ac:dyDescent="0.3">
      <c r="A92" s="5">
        <v>2430</v>
      </c>
      <c r="B92" s="6">
        <v>45707</v>
      </c>
      <c r="C92" s="7" t="s">
        <v>189</v>
      </c>
      <c r="D92" s="7" t="s">
        <v>23</v>
      </c>
      <c r="E92" s="7" t="s">
        <v>20</v>
      </c>
      <c r="F92" s="7">
        <v>5</v>
      </c>
      <c r="G92" s="8">
        <v>1350.36</v>
      </c>
      <c r="H92" s="7" t="s">
        <v>37</v>
      </c>
      <c r="I92" s="7" t="s">
        <v>29</v>
      </c>
      <c r="J92" s="7" t="s">
        <v>190</v>
      </c>
      <c r="K92" s="9">
        <v>6751.7999999999993</v>
      </c>
      <c r="L92" s="7" t="str">
        <f>TEXT(Table1[[#This Row],[Date]],"MMM"&amp;" yyy")</f>
        <v>Feb 2025</v>
      </c>
    </row>
    <row r="93" spans="1:12" x14ac:dyDescent="0.3">
      <c r="A93" s="5">
        <v>4898</v>
      </c>
      <c r="B93" s="6">
        <v>45707</v>
      </c>
      <c r="C93" s="7" t="s">
        <v>285</v>
      </c>
      <c r="D93" s="7" t="s">
        <v>19</v>
      </c>
      <c r="E93" s="7" t="s">
        <v>24</v>
      </c>
      <c r="F93" s="7">
        <v>4</v>
      </c>
      <c r="G93" s="8">
        <v>4564.8100000000004</v>
      </c>
      <c r="H93" s="7" t="s">
        <v>37</v>
      </c>
      <c r="I93" s="7" t="s">
        <v>25</v>
      </c>
      <c r="J93" s="7" t="s">
        <v>286</v>
      </c>
      <c r="K93" s="9">
        <v>18259.240000000002</v>
      </c>
      <c r="L93" s="7" t="str">
        <f>TEXT(Table1[[#This Row],[Date]],"MMM"&amp;" yyy")</f>
        <v>Feb 2025</v>
      </c>
    </row>
    <row r="94" spans="1:12" x14ac:dyDescent="0.3">
      <c r="A94" s="5">
        <v>4837</v>
      </c>
      <c r="B94" s="6">
        <v>45708</v>
      </c>
      <c r="C94" s="7" t="s">
        <v>546</v>
      </c>
      <c r="D94" s="7" t="s">
        <v>45</v>
      </c>
      <c r="E94" s="7" t="s">
        <v>20</v>
      </c>
      <c r="F94" s="7">
        <v>5</v>
      </c>
      <c r="G94" s="8">
        <v>1766.15</v>
      </c>
      <c r="H94" s="7" t="s">
        <v>37</v>
      </c>
      <c r="I94" s="7" t="s">
        <v>16</v>
      </c>
      <c r="J94" s="7" t="s">
        <v>547</v>
      </c>
      <c r="K94" s="9">
        <v>8830.75</v>
      </c>
      <c r="L94" s="7" t="str">
        <f>TEXT(Table1[[#This Row],[Date]],"MMM"&amp;" yyy")</f>
        <v>Feb 2025</v>
      </c>
    </row>
    <row r="95" spans="1:12" x14ac:dyDescent="0.3">
      <c r="A95" s="5">
        <v>7523</v>
      </c>
      <c r="B95" s="6">
        <v>45709</v>
      </c>
      <c r="C95" s="7" t="s">
        <v>443</v>
      </c>
      <c r="D95" s="7" t="s">
        <v>55</v>
      </c>
      <c r="E95" s="7" t="s">
        <v>24</v>
      </c>
      <c r="F95" s="7">
        <v>3</v>
      </c>
      <c r="G95" s="8">
        <v>4474.8100000000004</v>
      </c>
      <c r="H95" s="7" t="s">
        <v>15</v>
      </c>
      <c r="I95" s="7" t="s">
        <v>25</v>
      </c>
      <c r="J95" s="7" t="s">
        <v>444</v>
      </c>
      <c r="K95" s="9">
        <v>13424.43</v>
      </c>
      <c r="L95" s="7" t="str">
        <f>TEXT(Table1[[#This Row],[Date]],"MMM"&amp;" yyy")</f>
        <v>Feb 2025</v>
      </c>
    </row>
    <row r="96" spans="1:12" x14ac:dyDescent="0.3">
      <c r="A96" s="5">
        <v>2124</v>
      </c>
      <c r="B96" s="6">
        <v>45710</v>
      </c>
      <c r="C96" s="7" t="s">
        <v>485</v>
      </c>
      <c r="D96" s="7" t="s">
        <v>23</v>
      </c>
      <c r="E96" s="7" t="s">
        <v>14</v>
      </c>
      <c r="F96" s="7">
        <v>5</v>
      </c>
      <c r="G96" s="8">
        <v>328.95</v>
      </c>
      <c r="H96" s="7" t="s">
        <v>58</v>
      </c>
      <c r="I96" s="7" t="s">
        <v>25</v>
      </c>
      <c r="J96" s="7" t="s">
        <v>486</v>
      </c>
      <c r="K96" s="9">
        <v>1644.75</v>
      </c>
      <c r="L96" s="7" t="str">
        <f>TEXT(Table1[[#This Row],[Date]],"MMM"&amp;" yyy")</f>
        <v>Feb 2025</v>
      </c>
    </row>
    <row r="97" spans="1:12" x14ac:dyDescent="0.3">
      <c r="A97" s="5">
        <v>2705</v>
      </c>
      <c r="B97" s="6">
        <v>45710</v>
      </c>
      <c r="C97" s="7" t="s">
        <v>177</v>
      </c>
      <c r="D97" s="7" t="s">
        <v>65</v>
      </c>
      <c r="E97" s="7" t="s">
        <v>14</v>
      </c>
      <c r="F97" s="7">
        <v>5</v>
      </c>
      <c r="G97" s="8">
        <v>585.04999999999995</v>
      </c>
      <c r="H97" s="7" t="s">
        <v>58</v>
      </c>
      <c r="I97" s="7" t="s">
        <v>29</v>
      </c>
      <c r="J97" s="7" t="s">
        <v>178</v>
      </c>
      <c r="K97" s="9">
        <v>2925.25</v>
      </c>
      <c r="L97" s="7" t="str">
        <f>TEXT(Table1[[#This Row],[Date]],"MMM"&amp;" yyy")</f>
        <v>Feb 2025</v>
      </c>
    </row>
    <row r="98" spans="1:12" x14ac:dyDescent="0.3">
      <c r="A98" s="5">
        <v>6204</v>
      </c>
      <c r="B98" s="6">
        <v>45710</v>
      </c>
      <c r="C98" s="7" t="s">
        <v>463</v>
      </c>
      <c r="D98" s="7" t="s">
        <v>48</v>
      </c>
      <c r="E98" s="7" t="s">
        <v>14</v>
      </c>
      <c r="F98" s="7">
        <v>5</v>
      </c>
      <c r="G98" s="8">
        <v>450.86</v>
      </c>
      <c r="H98" s="7" t="s">
        <v>58</v>
      </c>
      <c r="I98" s="7" t="s">
        <v>16</v>
      </c>
      <c r="J98" s="7" t="s">
        <v>464</v>
      </c>
      <c r="K98" s="9">
        <v>2254.3000000000002</v>
      </c>
      <c r="L98" s="7" t="str">
        <f>TEXT(Table1[[#This Row],[Date]],"MMM"&amp;" yyy")</f>
        <v>Feb 2025</v>
      </c>
    </row>
    <row r="99" spans="1:12" x14ac:dyDescent="0.3">
      <c r="A99" s="5">
        <v>4674</v>
      </c>
      <c r="B99" s="6">
        <v>45711</v>
      </c>
      <c r="C99" s="7" t="s">
        <v>414</v>
      </c>
      <c r="D99" s="7" t="s">
        <v>23</v>
      </c>
      <c r="E99" s="7" t="s">
        <v>14</v>
      </c>
      <c r="F99" s="7">
        <v>1</v>
      </c>
      <c r="G99" s="8">
        <v>1262.27</v>
      </c>
      <c r="H99" s="7" t="s">
        <v>58</v>
      </c>
      <c r="I99" s="7" t="s">
        <v>16</v>
      </c>
      <c r="J99" s="7" t="s">
        <v>415</v>
      </c>
      <c r="K99" s="9">
        <v>1262.27</v>
      </c>
      <c r="L99" s="7" t="str">
        <f>TEXT(Table1[[#This Row],[Date]],"MMM"&amp;" yyy")</f>
        <v>Feb 2025</v>
      </c>
    </row>
    <row r="100" spans="1:12" x14ac:dyDescent="0.3">
      <c r="A100" s="5">
        <v>1235</v>
      </c>
      <c r="B100" s="6">
        <v>45712</v>
      </c>
      <c r="C100" s="7" t="s">
        <v>570</v>
      </c>
      <c r="D100" s="7" t="s">
        <v>13</v>
      </c>
      <c r="E100" s="7" t="s">
        <v>20</v>
      </c>
      <c r="F100" s="7">
        <v>2</v>
      </c>
      <c r="G100" s="8">
        <v>3087.39</v>
      </c>
      <c r="H100" s="7" t="s">
        <v>37</v>
      </c>
      <c r="I100" s="7" t="s">
        <v>25</v>
      </c>
      <c r="J100" s="7" t="s">
        <v>571</v>
      </c>
      <c r="K100" s="9">
        <v>6174.78</v>
      </c>
      <c r="L100" s="7" t="str">
        <f>TEXT(Table1[[#This Row],[Date]],"MMM"&amp;" yyy")</f>
        <v>Feb 2025</v>
      </c>
    </row>
    <row r="101" spans="1:12" x14ac:dyDescent="0.3">
      <c r="A101" s="5">
        <v>3839</v>
      </c>
      <c r="B101" s="6">
        <v>45712</v>
      </c>
      <c r="C101" s="7" t="s">
        <v>191</v>
      </c>
      <c r="D101" s="7" t="s">
        <v>28</v>
      </c>
      <c r="E101" s="7" t="s">
        <v>24</v>
      </c>
      <c r="F101" s="7">
        <v>3</v>
      </c>
      <c r="G101" s="8">
        <v>2752.08</v>
      </c>
      <c r="H101" s="7" t="s">
        <v>15</v>
      </c>
      <c r="I101" s="7" t="s">
        <v>16</v>
      </c>
      <c r="J101" s="7" t="s">
        <v>192</v>
      </c>
      <c r="K101" s="9">
        <v>8256.24</v>
      </c>
      <c r="L101" s="7" t="str">
        <f>TEXT(Table1[[#This Row],[Date]],"MMM"&amp;" yyy")</f>
        <v>Feb 2025</v>
      </c>
    </row>
    <row r="102" spans="1:12" x14ac:dyDescent="0.3">
      <c r="A102" s="5">
        <v>5937</v>
      </c>
      <c r="B102" s="6">
        <v>45712</v>
      </c>
      <c r="C102" s="7" t="s">
        <v>22</v>
      </c>
      <c r="D102" s="7" t="s">
        <v>23</v>
      </c>
      <c r="E102" s="7" t="s">
        <v>24</v>
      </c>
      <c r="F102" s="7">
        <v>4</v>
      </c>
      <c r="G102" s="8">
        <v>1644.2</v>
      </c>
      <c r="H102" s="7" t="s">
        <v>15</v>
      </c>
      <c r="I102" s="7" t="s">
        <v>25</v>
      </c>
      <c r="J102" s="7" t="s">
        <v>26</v>
      </c>
      <c r="K102" s="9">
        <v>6576.8</v>
      </c>
      <c r="L102" s="7" t="str">
        <f>TEXT(Table1[[#This Row],[Date]],"MMM"&amp;" yyy")</f>
        <v>Feb 2025</v>
      </c>
    </row>
    <row r="103" spans="1:12" x14ac:dyDescent="0.3">
      <c r="A103" s="5">
        <v>6661</v>
      </c>
      <c r="B103" s="6">
        <v>45713</v>
      </c>
      <c r="C103" s="7" t="s">
        <v>616</v>
      </c>
      <c r="D103" s="7" t="s">
        <v>65</v>
      </c>
      <c r="E103" s="7" t="s">
        <v>14</v>
      </c>
      <c r="F103" s="7">
        <v>4</v>
      </c>
      <c r="G103" s="8">
        <v>730.88</v>
      </c>
      <c r="H103" s="7" t="s">
        <v>58</v>
      </c>
      <c r="I103" s="7" t="s">
        <v>29</v>
      </c>
      <c r="J103" s="7" t="s">
        <v>617</v>
      </c>
      <c r="K103" s="9">
        <v>2923.52</v>
      </c>
      <c r="L103" s="7" t="str">
        <f>TEXT(Table1[[#This Row],[Date]],"MMM"&amp;" yyy")</f>
        <v>Feb 2025</v>
      </c>
    </row>
    <row r="104" spans="1:12" x14ac:dyDescent="0.3">
      <c r="A104" s="5">
        <v>6899</v>
      </c>
      <c r="B104" s="6">
        <v>45713</v>
      </c>
      <c r="C104" s="7" t="s">
        <v>604</v>
      </c>
      <c r="D104" s="7" t="s">
        <v>45</v>
      </c>
      <c r="E104" s="7" t="s">
        <v>20</v>
      </c>
      <c r="F104" s="7">
        <v>1</v>
      </c>
      <c r="G104" s="8">
        <v>134.6</v>
      </c>
      <c r="H104" s="7" t="s">
        <v>15</v>
      </c>
      <c r="I104" s="7" t="s">
        <v>25</v>
      </c>
      <c r="J104" s="7" t="s">
        <v>605</v>
      </c>
      <c r="K104" s="9">
        <v>134.6</v>
      </c>
      <c r="L104" s="7" t="str">
        <f>TEXT(Table1[[#This Row],[Date]],"MMM"&amp;" yyy")</f>
        <v>Feb 2025</v>
      </c>
    </row>
    <row r="105" spans="1:12" x14ac:dyDescent="0.3">
      <c r="A105" s="5">
        <v>9263</v>
      </c>
      <c r="B105" s="6">
        <v>45713</v>
      </c>
      <c r="C105" s="7" t="s">
        <v>356</v>
      </c>
      <c r="D105" s="7" t="s">
        <v>42</v>
      </c>
      <c r="E105" s="7" t="s">
        <v>20</v>
      </c>
      <c r="F105" s="7">
        <v>2</v>
      </c>
      <c r="G105" s="8">
        <v>444.59</v>
      </c>
      <c r="H105" s="7" t="s">
        <v>58</v>
      </c>
      <c r="I105" s="7" t="s">
        <v>25</v>
      </c>
      <c r="J105" s="7" t="s">
        <v>357</v>
      </c>
      <c r="K105" s="9">
        <v>889.18</v>
      </c>
      <c r="L105" s="7" t="str">
        <f>TEXT(Table1[[#This Row],[Date]],"MMM"&amp;" yyy")</f>
        <v>Feb 2025</v>
      </c>
    </row>
    <row r="106" spans="1:12" x14ac:dyDescent="0.3">
      <c r="A106" s="5">
        <v>2844</v>
      </c>
      <c r="B106" s="6">
        <v>45714</v>
      </c>
      <c r="C106" s="7" t="s">
        <v>320</v>
      </c>
      <c r="D106" s="7" t="s">
        <v>23</v>
      </c>
      <c r="E106" s="7" t="s">
        <v>24</v>
      </c>
      <c r="F106" s="7">
        <v>1</v>
      </c>
      <c r="G106" s="8">
        <v>1389.97</v>
      </c>
      <c r="H106" s="7" t="s">
        <v>15</v>
      </c>
      <c r="I106" s="7" t="s">
        <v>29</v>
      </c>
      <c r="J106" s="7" t="s">
        <v>321</v>
      </c>
      <c r="K106" s="9">
        <v>1389.97</v>
      </c>
      <c r="L106" s="7" t="str">
        <f>TEXT(Table1[[#This Row],[Date]],"MMM"&amp;" yyy")</f>
        <v>Feb 2025</v>
      </c>
    </row>
    <row r="107" spans="1:12" x14ac:dyDescent="0.3">
      <c r="A107" s="5">
        <v>3844</v>
      </c>
      <c r="B107" s="6">
        <v>45715</v>
      </c>
      <c r="C107" s="7" t="s">
        <v>293</v>
      </c>
      <c r="D107" s="7" t="s">
        <v>23</v>
      </c>
      <c r="E107" s="7" t="s">
        <v>24</v>
      </c>
      <c r="F107" s="7">
        <v>5</v>
      </c>
      <c r="G107" s="8">
        <v>2409.4899999999998</v>
      </c>
      <c r="H107" s="7" t="s">
        <v>58</v>
      </c>
      <c r="I107" s="7" t="s">
        <v>16</v>
      </c>
      <c r="J107" s="7" t="s">
        <v>294</v>
      </c>
      <c r="K107" s="9">
        <v>12047.449999999999</v>
      </c>
      <c r="L107" s="7" t="str">
        <f>TEXT(Table1[[#This Row],[Date]],"MMM"&amp;" yyy")</f>
        <v>Feb 2025</v>
      </c>
    </row>
    <row r="108" spans="1:12" x14ac:dyDescent="0.3">
      <c r="A108" s="5">
        <v>9591</v>
      </c>
      <c r="B108" s="6">
        <v>45715</v>
      </c>
      <c r="C108" s="7" t="s">
        <v>568</v>
      </c>
      <c r="D108" s="7" t="s">
        <v>19</v>
      </c>
      <c r="E108" s="7" t="s">
        <v>20</v>
      </c>
      <c r="F108" s="7">
        <v>3</v>
      </c>
      <c r="G108" s="8">
        <v>1101.5899999999999</v>
      </c>
      <c r="H108" s="7" t="s">
        <v>15</v>
      </c>
      <c r="I108" s="7" t="s">
        <v>25</v>
      </c>
      <c r="J108" s="7" t="s">
        <v>569</v>
      </c>
      <c r="K108" s="9">
        <v>3304.7699999999995</v>
      </c>
      <c r="L108" s="7" t="str">
        <f>TEXT(Table1[[#This Row],[Date]],"MMM"&amp;" yyy")</f>
        <v>Feb 2025</v>
      </c>
    </row>
    <row r="109" spans="1:12" x14ac:dyDescent="0.3">
      <c r="A109" s="5">
        <v>7076</v>
      </c>
      <c r="B109" s="6">
        <v>45716</v>
      </c>
      <c r="C109" s="7" t="s">
        <v>125</v>
      </c>
      <c r="D109" s="7" t="s">
        <v>48</v>
      </c>
      <c r="E109" s="7" t="s">
        <v>24</v>
      </c>
      <c r="F109" s="7">
        <v>3</v>
      </c>
      <c r="G109" s="8">
        <v>2603.3200000000002</v>
      </c>
      <c r="H109" s="7" t="s">
        <v>37</v>
      </c>
      <c r="I109" s="7" t="s">
        <v>25</v>
      </c>
      <c r="J109" s="7" t="s">
        <v>126</v>
      </c>
      <c r="K109" s="9">
        <v>7809.9600000000009</v>
      </c>
      <c r="L109" s="7" t="str">
        <f>TEXT(Table1[[#This Row],[Date]],"MMM"&amp;" yyy")</f>
        <v>Feb 2025</v>
      </c>
    </row>
    <row r="110" spans="1:12" x14ac:dyDescent="0.3">
      <c r="A110" s="5">
        <v>9384</v>
      </c>
      <c r="B110" s="6">
        <v>45716</v>
      </c>
      <c r="C110" s="7" t="s">
        <v>213</v>
      </c>
      <c r="D110" s="7" t="s">
        <v>48</v>
      </c>
      <c r="E110" s="7" t="s">
        <v>14</v>
      </c>
      <c r="F110" s="7">
        <v>4</v>
      </c>
      <c r="G110" s="8">
        <v>3412.31</v>
      </c>
      <c r="H110" s="7" t="s">
        <v>37</v>
      </c>
      <c r="I110" s="7" t="s">
        <v>16</v>
      </c>
      <c r="J110" s="7" t="s">
        <v>214</v>
      </c>
      <c r="K110" s="9">
        <v>13649.24</v>
      </c>
      <c r="L110" s="7" t="str">
        <f>TEXT(Table1[[#This Row],[Date]],"MMM"&amp;" yyy")</f>
        <v>Feb 2025</v>
      </c>
    </row>
    <row r="111" spans="1:12" x14ac:dyDescent="0.3">
      <c r="A111" s="5">
        <v>4100</v>
      </c>
      <c r="B111" s="6">
        <v>45717</v>
      </c>
      <c r="C111" s="7" t="s">
        <v>360</v>
      </c>
      <c r="D111" s="7" t="s">
        <v>48</v>
      </c>
      <c r="E111" s="7" t="s">
        <v>14</v>
      </c>
      <c r="F111" s="7">
        <v>2</v>
      </c>
      <c r="G111" s="8">
        <v>2938.9</v>
      </c>
      <c r="H111" s="7" t="s">
        <v>37</v>
      </c>
      <c r="I111" s="7" t="s">
        <v>16</v>
      </c>
      <c r="J111" s="7" t="s">
        <v>361</v>
      </c>
      <c r="K111" s="9">
        <v>5877.8</v>
      </c>
      <c r="L111" s="7" t="str">
        <f>TEXT(Table1[[#This Row],[Date]],"MMM"&amp;" yyy")</f>
        <v>Mar 2025</v>
      </c>
    </row>
    <row r="112" spans="1:12" x14ac:dyDescent="0.3">
      <c r="A112" s="5">
        <v>4893</v>
      </c>
      <c r="B112" s="6">
        <v>45717</v>
      </c>
      <c r="C112" s="7" t="s">
        <v>618</v>
      </c>
      <c r="D112" s="7" t="s">
        <v>28</v>
      </c>
      <c r="E112" s="7" t="s">
        <v>14</v>
      </c>
      <c r="F112" s="7">
        <v>2</v>
      </c>
      <c r="G112" s="8">
        <v>3165.39</v>
      </c>
      <c r="H112" s="7" t="s">
        <v>58</v>
      </c>
      <c r="I112" s="7" t="s">
        <v>29</v>
      </c>
      <c r="J112" s="7" t="s">
        <v>619</v>
      </c>
      <c r="K112" s="9">
        <v>6330.78</v>
      </c>
      <c r="L112" s="7" t="str">
        <f>TEXT(Table1[[#This Row],[Date]],"MMM"&amp;" yyy")</f>
        <v>Mar 2025</v>
      </c>
    </row>
    <row r="113" spans="1:12" x14ac:dyDescent="0.3">
      <c r="A113" s="5">
        <v>3781</v>
      </c>
      <c r="B113" s="6">
        <v>45718</v>
      </c>
      <c r="C113" s="7" t="s">
        <v>279</v>
      </c>
      <c r="D113" s="7" t="s">
        <v>48</v>
      </c>
      <c r="E113" s="7" t="s">
        <v>24</v>
      </c>
      <c r="F113" s="7">
        <v>3</v>
      </c>
      <c r="G113" s="8">
        <v>860.15</v>
      </c>
      <c r="H113" s="7" t="s">
        <v>15</v>
      </c>
      <c r="I113" s="7" t="s">
        <v>16</v>
      </c>
      <c r="J113" s="7" t="s">
        <v>280</v>
      </c>
      <c r="K113" s="9">
        <v>2580.4499999999998</v>
      </c>
      <c r="L113" s="7" t="str">
        <f>TEXT(Table1[[#This Row],[Date]],"MMM"&amp;" yyy")</f>
        <v>Mar 2025</v>
      </c>
    </row>
    <row r="114" spans="1:12" x14ac:dyDescent="0.3">
      <c r="A114" s="5">
        <v>4517</v>
      </c>
      <c r="B114" s="6">
        <v>45718</v>
      </c>
      <c r="C114" s="7" t="s">
        <v>626</v>
      </c>
      <c r="D114" s="7" t="s">
        <v>48</v>
      </c>
      <c r="E114" s="7" t="s">
        <v>14</v>
      </c>
      <c r="F114" s="7">
        <v>4</v>
      </c>
      <c r="G114" s="8">
        <v>4403.3599999999997</v>
      </c>
      <c r="H114" s="7" t="s">
        <v>15</v>
      </c>
      <c r="I114" s="7" t="s">
        <v>29</v>
      </c>
      <c r="J114" s="7" t="s">
        <v>627</v>
      </c>
      <c r="K114" s="9">
        <v>17613.439999999999</v>
      </c>
      <c r="L114" s="7" t="str">
        <f>TEXT(Table1[[#This Row],[Date]],"MMM"&amp;" yyy")</f>
        <v>Mar 2025</v>
      </c>
    </row>
    <row r="115" spans="1:12" x14ac:dyDescent="0.3">
      <c r="A115" s="5">
        <v>3222</v>
      </c>
      <c r="B115" s="6">
        <v>45719</v>
      </c>
      <c r="C115" s="7" t="s">
        <v>449</v>
      </c>
      <c r="D115" s="7" t="s">
        <v>32</v>
      </c>
      <c r="E115" s="7" t="s">
        <v>14</v>
      </c>
      <c r="F115" s="7">
        <v>1</v>
      </c>
      <c r="G115" s="8">
        <v>1713.36</v>
      </c>
      <c r="H115" s="7" t="s">
        <v>15</v>
      </c>
      <c r="I115" s="7" t="s">
        <v>29</v>
      </c>
      <c r="J115" s="7" t="s">
        <v>450</v>
      </c>
      <c r="K115" s="9">
        <v>1713.36</v>
      </c>
      <c r="L115" s="7" t="str">
        <f>TEXT(Table1[[#This Row],[Date]],"MMM"&amp;" yyy")</f>
        <v>Mar 2025</v>
      </c>
    </row>
    <row r="116" spans="1:12" x14ac:dyDescent="0.3">
      <c r="A116" s="5">
        <v>9838</v>
      </c>
      <c r="B116" s="6">
        <v>45720</v>
      </c>
      <c r="C116" s="7" t="s">
        <v>199</v>
      </c>
      <c r="D116" s="7" t="s">
        <v>28</v>
      </c>
      <c r="E116" s="7" t="s">
        <v>14</v>
      </c>
      <c r="F116" s="7">
        <v>3</v>
      </c>
      <c r="G116" s="8">
        <v>1604.3</v>
      </c>
      <c r="H116" s="7" t="s">
        <v>58</v>
      </c>
      <c r="I116" s="7" t="s">
        <v>25</v>
      </c>
      <c r="J116" s="7" t="s">
        <v>200</v>
      </c>
      <c r="K116" s="9">
        <v>4812.8999999999996</v>
      </c>
      <c r="L116" s="7" t="str">
        <f>TEXT(Table1[[#This Row],[Date]],"MMM"&amp;" yyy")</f>
        <v>Mar 2025</v>
      </c>
    </row>
    <row r="117" spans="1:12" x14ac:dyDescent="0.3">
      <c r="A117" s="5">
        <v>2874</v>
      </c>
      <c r="B117" s="6">
        <v>45721</v>
      </c>
      <c r="C117" s="7" t="s">
        <v>648</v>
      </c>
      <c r="D117" s="7" t="s">
        <v>19</v>
      </c>
      <c r="E117" s="7" t="s">
        <v>24</v>
      </c>
      <c r="F117" s="7">
        <v>1</v>
      </c>
      <c r="G117" s="8">
        <v>3491.86</v>
      </c>
      <c r="H117" s="7" t="s">
        <v>37</v>
      </c>
      <c r="I117" s="7" t="s">
        <v>25</v>
      </c>
      <c r="J117" s="7" t="s">
        <v>649</v>
      </c>
      <c r="K117" s="9">
        <v>3491.86</v>
      </c>
      <c r="L117" s="7" t="str">
        <f>TEXT(Table1[[#This Row],[Date]],"MMM"&amp;" yyy")</f>
        <v>Mar 2025</v>
      </c>
    </row>
    <row r="118" spans="1:12" x14ac:dyDescent="0.3">
      <c r="A118" s="5">
        <v>3304</v>
      </c>
      <c r="B118" s="6">
        <v>45721</v>
      </c>
      <c r="C118" s="7" t="s">
        <v>265</v>
      </c>
      <c r="D118" s="7" t="s">
        <v>55</v>
      </c>
      <c r="E118" s="7" t="s">
        <v>24</v>
      </c>
      <c r="F118" s="7">
        <v>2</v>
      </c>
      <c r="G118" s="8">
        <v>4125.55</v>
      </c>
      <c r="H118" s="7" t="s">
        <v>37</v>
      </c>
      <c r="I118" s="7" t="s">
        <v>25</v>
      </c>
      <c r="J118" s="7" t="s">
        <v>266</v>
      </c>
      <c r="K118" s="9">
        <v>8251.1</v>
      </c>
      <c r="L118" s="7" t="str">
        <f>TEXT(Table1[[#This Row],[Date]],"MMM"&amp;" yyy")</f>
        <v>Mar 2025</v>
      </c>
    </row>
    <row r="119" spans="1:12" x14ac:dyDescent="0.3">
      <c r="A119" s="5">
        <v>9225</v>
      </c>
      <c r="B119" s="6">
        <v>45722</v>
      </c>
      <c r="C119" s="7" t="s">
        <v>227</v>
      </c>
      <c r="D119" s="7" t="s">
        <v>48</v>
      </c>
      <c r="E119" s="7" t="s">
        <v>14</v>
      </c>
      <c r="F119" s="7">
        <v>2</v>
      </c>
      <c r="G119" s="8">
        <v>1460.31</v>
      </c>
      <c r="H119" s="7" t="s">
        <v>37</v>
      </c>
      <c r="I119" s="7" t="s">
        <v>29</v>
      </c>
      <c r="J119" s="7" t="s">
        <v>228</v>
      </c>
      <c r="K119" s="9">
        <v>2920.62</v>
      </c>
      <c r="L119" s="7" t="str">
        <f>TEXT(Table1[[#This Row],[Date]],"MMM"&amp;" yyy")</f>
        <v>Mar 2025</v>
      </c>
    </row>
    <row r="120" spans="1:12" x14ac:dyDescent="0.3">
      <c r="A120" s="5">
        <v>3293</v>
      </c>
      <c r="B120" s="6">
        <v>45724</v>
      </c>
      <c r="C120" s="7" t="s">
        <v>127</v>
      </c>
      <c r="D120" s="7" t="s">
        <v>55</v>
      </c>
      <c r="E120" s="7" t="s">
        <v>14</v>
      </c>
      <c r="F120" s="7">
        <v>3</v>
      </c>
      <c r="G120" s="8">
        <v>3388.91</v>
      </c>
      <c r="H120" s="7" t="s">
        <v>15</v>
      </c>
      <c r="I120" s="7" t="s">
        <v>25</v>
      </c>
      <c r="J120" s="7" t="s">
        <v>128</v>
      </c>
      <c r="K120" s="9">
        <v>10166.73</v>
      </c>
      <c r="L120" s="7" t="str">
        <f>TEXT(Table1[[#This Row],[Date]],"MMM"&amp;" yyy")</f>
        <v>Mar 2025</v>
      </c>
    </row>
    <row r="121" spans="1:12" x14ac:dyDescent="0.3">
      <c r="A121" s="5">
        <v>7449</v>
      </c>
      <c r="B121" s="6">
        <v>45725</v>
      </c>
      <c r="C121" s="7" t="s">
        <v>145</v>
      </c>
      <c r="D121" s="7" t="s">
        <v>13</v>
      </c>
      <c r="E121" s="7" t="s">
        <v>20</v>
      </c>
      <c r="F121" s="7">
        <v>1</v>
      </c>
      <c r="G121" s="8">
        <v>392.42</v>
      </c>
      <c r="H121" s="7" t="s">
        <v>37</v>
      </c>
      <c r="I121" s="7" t="s">
        <v>25</v>
      </c>
      <c r="J121" s="7" t="s">
        <v>146</v>
      </c>
      <c r="K121" s="9">
        <v>392.42</v>
      </c>
      <c r="L121" s="7" t="str">
        <f>TEXT(Table1[[#This Row],[Date]],"MMM"&amp;" yyy")</f>
        <v>Mar 2025</v>
      </c>
    </row>
    <row r="122" spans="1:12" x14ac:dyDescent="0.3">
      <c r="A122" s="5">
        <v>2757</v>
      </c>
      <c r="B122" s="6">
        <v>45726</v>
      </c>
      <c r="C122" s="7" t="s">
        <v>217</v>
      </c>
      <c r="D122" s="7" t="s">
        <v>28</v>
      </c>
      <c r="E122" s="7" t="s">
        <v>20</v>
      </c>
      <c r="F122" s="7">
        <v>3</v>
      </c>
      <c r="G122" s="8">
        <v>2417.81</v>
      </c>
      <c r="H122" s="7" t="s">
        <v>37</v>
      </c>
      <c r="I122" s="7" t="s">
        <v>16</v>
      </c>
      <c r="J122" s="7" t="s">
        <v>218</v>
      </c>
      <c r="K122" s="9">
        <v>7253.43</v>
      </c>
      <c r="L122" s="7" t="str">
        <f>TEXT(Table1[[#This Row],[Date]],"MMM"&amp;" yyy")</f>
        <v>Mar 2025</v>
      </c>
    </row>
    <row r="123" spans="1:12" x14ac:dyDescent="0.3">
      <c r="A123" s="5">
        <v>5920</v>
      </c>
      <c r="B123" s="6">
        <v>45726</v>
      </c>
      <c r="C123" s="7" t="s">
        <v>382</v>
      </c>
      <c r="D123" s="7" t="s">
        <v>32</v>
      </c>
      <c r="E123" s="7" t="s">
        <v>20</v>
      </c>
      <c r="F123" s="7">
        <v>2</v>
      </c>
      <c r="G123" s="8">
        <v>1325.21</v>
      </c>
      <c r="H123" s="7" t="s">
        <v>15</v>
      </c>
      <c r="I123" s="7" t="s">
        <v>25</v>
      </c>
      <c r="J123" s="7" t="s">
        <v>383</v>
      </c>
      <c r="K123" s="9">
        <v>2650.42</v>
      </c>
      <c r="L123" s="7" t="str">
        <f>TEXT(Table1[[#This Row],[Date]],"MMM"&amp;" yyy")</f>
        <v>Mar 2025</v>
      </c>
    </row>
    <row r="124" spans="1:12" x14ac:dyDescent="0.3">
      <c r="A124" s="5">
        <v>1476</v>
      </c>
      <c r="B124" s="6">
        <v>45727</v>
      </c>
      <c r="C124" s="7" t="s">
        <v>307</v>
      </c>
      <c r="D124" s="7" t="s">
        <v>23</v>
      </c>
      <c r="E124" s="7" t="s">
        <v>20</v>
      </c>
      <c r="F124" s="7">
        <v>1</v>
      </c>
      <c r="G124" s="8">
        <v>1668.15</v>
      </c>
      <c r="H124" s="7" t="s">
        <v>58</v>
      </c>
      <c r="I124" s="7" t="s">
        <v>29</v>
      </c>
      <c r="J124" s="7" t="s">
        <v>308</v>
      </c>
      <c r="K124" s="9">
        <v>1668.15</v>
      </c>
      <c r="L124" s="7" t="str">
        <f>TEXT(Table1[[#This Row],[Date]],"MMM"&amp;" yyy")</f>
        <v>Mar 2025</v>
      </c>
    </row>
    <row r="125" spans="1:12" x14ac:dyDescent="0.3">
      <c r="A125" s="5">
        <v>1790</v>
      </c>
      <c r="B125" s="6">
        <v>45727</v>
      </c>
      <c r="C125" s="7" t="s">
        <v>67</v>
      </c>
      <c r="D125" s="7" t="s">
        <v>55</v>
      </c>
      <c r="E125" s="7" t="s">
        <v>20</v>
      </c>
      <c r="F125" s="7">
        <v>4</v>
      </c>
      <c r="G125" s="8">
        <v>186.29</v>
      </c>
      <c r="H125" s="7" t="s">
        <v>15</v>
      </c>
      <c r="I125" s="7" t="s">
        <v>29</v>
      </c>
      <c r="J125" s="7" t="s">
        <v>68</v>
      </c>
      <c r="K125" s="9">
        <v>745.16</v>
      </c>
      <c r="L125" s="7" t="str">
        <f>TEXT(Table1[[#This Row],[Date]],"MMM"&amp;" yyy")</f>
        <v>Mar 2025</v>
      </c>
    </row>
    <row r="126" spans="1:12" x14ac:dyDescent="0.3">
      <c r="A126" s="5">
        <v>2038</v>
      </c>
      <c r="B126" s="6">
        <v>45727</v>
      </c>
      <c r="C126" s="7" t="s">
        <v>598</v>
      </c>
      <c r="D126" s="7" t="s">
        <v>23</v>
      </c>
      <c r="E126" s="7" t="s">
        <v>20</v>
      </c>
      <c r="F126" s="7">
        <v>2</v>
      </c>
      <c r="G126" s="8">
        <v>4910.26</v>
      </c>
      <c r="H126" s="7" t="s">
        <v>58</v>
      </c>
      <c r="I126" s="7" t="s">
        <v>29</v>
      </c>
      <c r="J126" s="7" t="s">
        <v>599</v>
      </c>
      <c r="K126" s="9">
        <v>9820.52</v>
      </c>
      <c r="L126" s="7" t="str">
        <f>TEXT(Table1[[#This Row],[Date]],"MMM"&amp;" yyy")</f>
        <v>Mar 2025</v>
      </c>
    </row>
    <row r="127" spans="1:12" x14ac:dyDescent="0.3">
      <c r="A127" s="5">
        <v>2570</v>
      </c>
      <c r="B127" s="6">
        <v>45727</v>
      </c>
      <c r="C127" s="7" t="s">
        <v>239</v>
      </c>
      <c r="D127" s="7" t="s">
        <v>48</v>
      </c>
      <c r="E127" s="7" t="s">
        <v>20</v>
      </c>
      <c r="F127" s="7">
        <v>3</v>
      </c>
      <c r="G127" s="8">
        <v>3976.24</v>
      </c>
      <c r="H127" s="7" t="s">
        <v>37</v>
      </c>
      <c r="I127" s="7" t="s">
        <v>25</v>
      </c>
      <c r="J127" s="7" t="s">
        <v>240</v>
      </c>
      <c r="K127" s="9">
        <v>11928.72</v>
      </c>
      <c r="L127" s="7" t="str">
        <f>TEXT(Table1[[#This Row],[Date]],"MMM"&amp;" yyy")</f>
        <v>Mar 2025</v>
      </c>
    </row>
    <row r="128" spans="1:12" x14ac:dyDescent="0.3">
      <c r="A128" s="5">
        <v>3010</v>
      </c>
      <c r="B128" s="6">
        <v>45727</v>
      </c>
      <c r="C128" s="7" t="s">
        <v>624</v>
      </c>
      <c r="D128" s="7" t="s">
        <v>45</v>
      </c>
      <c r="E128" s="7" t="s">
        <v>24</v>
      </c>
      <c r="F128" s="7">
        <v>2</v>
      </c>
      <c r="G128" s="8">
        <v>3950.45</v>
      </c>
      <c r="H128" s="7" t="s">
        <v>15</v>
      </c>
      <c r="I128" s="7" t="s">
        <v>16</v>
      </c>
      <c r="J128" s="7" t="s">
        <v>625</v>
      </c>
      <c r="K128" s="9">
        <v>7900.9</v>
      </c>
      <c r="L128" s="7" t="str">
        <f>TEXT(Table1[[#This Row],[Date]],"MMM"&amp;" yyy")</f>
        <v>Mar 2025</v>
      </c>
    </row>
    <row r="129" spans="1:12" x14ac:dyDescent="0.3">
      <c r="A129" s="5">
        <v>6297</v>
      </c>
      <c r="B129" s="6">
        <v>45727</v>
      </c>
      <c r="C129" s="7" t="s">
        <v>141</v>
      </c>
      <c r="D129" s="7" t="s">
        <v>65</v>
      </c>
      <c r="E129" s="7" t="s">
        <v>24</v>
      </c>
      <c r="F129" s="7">
        <v>1</v>
      </c>
      <c r="G129" s="8">
        <v>1376.4</v>
      </c>
      <c r="H129" s="7" t="s">
        <v>15</v>
      </c>
      <c r="I129" s="7" t="s">
        <v>16</v>
      </c>
      <c r="J129" s="7" t="s">
        <v>142</v>
      </c>
      <c r="K129" s="9">
        <v>1376.4</v>
      </c>
      <c r="L129" s="7" t="str">
        <f>TEXT(Table1[[#This Row],[Date]],"MMM"&amp;" yyy")</f>
        <v>Mar 2025</v>
      </c>
    </row>
    <row r="130" spans="1:12" x14ac:dyDescent="0.3">
      <c r="A130" s="5">
        <v>4206</v>
      </c>
      <c r="B130" s="6">
        <v>45728</v>
      </c>
      <c r="C130" s="7" t="s">
        <v>584</v>
      </c>
      <c r="D130" s="7" t="s">
        <v>32</v>
      </c>
      <c r="E130" s="7" t="s">
        <v>24</v>
      </c>
      <c r="F130" s="7">
        <v>4</v>
      </c>
      <c r="G130" s="8">
        <v>2889.42</v>
      </c>
      <c r="H130" s="7" t="s">
        <v>15</v>
      </c>
      <c r="I130" s="7" t="s">
        <v>29</v>
      </c>
      <c r="J130" s="7" t="s">
        <v>585</v>
      </c>
      <c r="K130" s="9">
        <v>11557.68</v>
      </c>
      <c r="L130" s="7" t="str">
        <f>TEXT(Table1[[#This Row],[Date]],"MMM"&amp;" yyy")</f>
        <v>Mar 2025</v>
      </c>
    </row>
    <row r="131" spans="1:12" x14ac:dyDescent="0.3">
      <c r="A131" s="5">
        <v>8073</v>
      </c>
      <c r="B131" s="6">
        <v>45728</v>
      </c>
      <c r="C131" s="7" t="s">
        <v>634</v>
      </c>
      <c r="D131" s="7" t="s">
        <v>65</v>
      </c>
      <c r="E131" s="7" t="s">
        <v>14</v>
      </c>
      <c r="F131" s="7">
        <v>5</v>
      </c>
      <c r="G131" s="8">
        <v>4548.59</v>
      </c>
      <c r="H131" s="7" t="s">
        <v>37</v>
      </c>
      <c r="I131" s="7" t="s">
        <v>16</v>
      </c>
      <c r="J131" s="7" t="s">
        <v>635</v>
      </c>
      <c r="K131" s="9">
        <v>22742.95</v>
      </c>
      <c r="L131" s="7" t="str">
        <f>TEXT(Table1[[#This Row],[Date]],"MMM"&amp;" yyy")</f>
        <v>Mar 2025</v>
      </c>
    </row>
    <row r="132" spans="1:12" x14ac:dyDescent="0.3">
      <c r="A132" s="5">
        <v>6280</v>
      </c>
      <c r="B132" s="6">
        <v>45730</v>
      </c>
      <c r="C132" s="16" t="s">
        <v>41</v>
      </c>
      <c r="D132" s="7" t="s">
        <v>42</v>
      </c>
      <c r="E132" s="7" t="s">
        <v>20</v>
      </c>
      <c r="F132" s="7">
        <v>1</v>
      </c>
      <c r="G132" s="8">
        <v>4002.84</v>
      </c>
      <c r="H132" s="7" t="s">
        <v>37</v>
      </c>
      <c r="I132" s="7" t="s">
        <v>25</v>
      </c>
      <c r="J132" s="7" t="s">
        <v>43</v>
      </c>
      <c r="K132" s="9">
        <v>4002.84</v>
      </c>
      <c r="L132" s="7" t="str">
        <f>TEXT(Table1[[#This Row],[Date]],"MMM"&amp;" yyy")</f>
        <v>Mar 2025</v>
      </c>
    </row>
    <row r="133" spans="1:12" x14ac:dyDescent="0.3">
      <c r="A133" s="5">
        <v>6611</v>
      </c>
      <c r="B133" s="6">
        <v>45731</v>
      </c>
      <c r="C133" s="7" t="s">
        <v>406</v>
      </c>
      <c r="D133" s="7" t="s">
        <v>13</v>
      </c>
      <c r="E133" s="7" t="s">
        <v>14</v>
      </c>
      <c r="F133" s="7">
        <v>2</v>
      </c>
      <c r="G133" s="8">
        <v>3287.6</v>
      </c>
      <c r="H133" s="7" t="s">
        <v>58</v>
      </c>
      <c r="I133" s="7" t="s">
        <v>16</v>
      </c>
      <c r="J133" s="7" t="s">
        <v>407</v>
      </c>
      <c r="K133" s="9">
        <v>6575.2</v>
      </c>
      <c r="L133" s="7" t="str">
        <f>TEXT(Table1[[#This Row],[Date]],"MMM"&amp;" yyy")</f>
        <v>Mar 2025</v>
      </c>
    </row>
    <row r="134" spans="1:12" x14ac:dyDescent="0.3">
      <c r="A134" s="5">
        <v>6701</v>
      </c>
      <c r="B134" s="6">
        <v>45731</v>
      </c>
      <c r="C134" s="7" t="s">
        <v>432</v>
      </c>
      <c r="D134" s="7" t="s">
        <v>42</v>
      </c>
      <c r="E134" s="7" t="s">
        <v>14</v>
      </c>
      <c r="F134" s="7">
        <v>4</v>
      </c>
      <c r="G134" s="8">
        <v>4907.18</v>
      </c>
      <c r="H134" s="7" t="s">
        <v>58</v>
      </c>
      <c r="I134" s="7" t="s">
        <v>25</v>
      </c>
      <c r="J134" s="7" t="s">
        <v>433</v>
      </c>
      <c r="K134" s="9">
        <v>19628.72</v>
      </c>
      <c r="L134" s="7" t="str">
        <f>TEXT(Table1[[#This Row],[Date]],"MMM"&amp;" yyy")</f>
        <v>Mar 2025</v>
      </c>
    </row>
    <row r="135" spans="1:12" x14ac:dyDescent="0.3">
      <c r="A135" s="5">
        <v>8970</v>
      </c>
      <c r="B135" s="6">
        <v>45731</v>
      </c>
      <c r="C135" s="7" t="s">
        <v>606</v>
      </c>
      <c r="D135" s="7" t="s">
        <v>28</v>
      </c>
      <c r="E135" s="7" t="s">
        <v>20</v>
      </c>
      <c r="F135" s="7">
        <v>4</v>
      </c>
      <c r="G135" s="8">
        <v>4885.29</v>
      </c>
      <c r="H135" s="7" t="s">
        <v>37</v>
      </c>
      <c r="I135" s="7" t="s">
        <v>29</v>
      </c>
      <c r="J135" s="7" t="s">
        <v>607</v>
      </c>
      <c r="K135" s="9">
        <v>19541.16</v>
      </c>
      <c r="L135" s="7" t="str">
        <f>TEXT(Table1[[#This Row],[Date]],"MMM"&amp;" yyy")</f>
        <v>Mar 2025</v>
      </c>
    </row>
    <row r="136" spans="1:12" x14ac:dyDescent="0.3">
      <c r="A136" s="5">
        <v>9118</v>
      </c>
      <c r="B136" s="6">
        <v>45731</v>
      </c>
      <c r="C136" s="7" t="s">
        <v>578</v>
      </c>
      <c r="D136" s="7" t="s">
        <v>13</v>
      </c>
      <c r="E136" s="7" t="s">
        <v>14</v>
      </c>
      <c r="F136" s="7">
        <v>1</v>
      </c>
      <c r="G136" s="8">
        <v>3269.28</v>
      </c>
      <c r="H136" s="7" t="s">
        <v>37</v>
      </c>
      <c r="I136" s="7" t="s">
        <v>16</v>
      </c>
      <c r="J136" s="7" t="s">
        <v>579</v>
      </c>
      <c r="K136" s="9">
        <v>3269.28</v>
      </c>
      <c r="L136" s="7" t="str">
        <f>TEXT(Table1[[#This Row],[Date]],"MMM"&amp;" yyy")</f>
        <v>Mar 2025</v>
      </c>
    </row>
    <row r="137" spans="1:12" x14ac:dyDescent="0.3">
      <c r="A137" s="5">
        <v>1901</v>
      </c>
      <c r="B137" s="6">
        <v>45732</v>
      </c>
      <c r="C137" s="7" t="s">
        <v>457</v>
      </c>
      <c r="D137" s="7" t="s">
        <v>32</v>
      </c>
      <c r="E137" s="7" t="s">
        <v>24</v>
      </c>
      <c r="F137" s="7">
        <v>3</v>
      </c>
      <c r="G137" s="8">
        <v>3026.27</v>
      </c>
      <c r="H137" s="7" t="s">
        <v>37</v>
      </c>
      <c r="I137" s="7" t="s">
        <v>29</v>
      </c>
      <c r="J137" s="7" t="s">
        <v>458</v>
      </c>
      <c r="K137" s="9">
        <v>9078.81</v>
      </c>
      <c r="L137" s="7" t="str">
        <f>TEXT(Table1[[#This Row],[Date]],"MMM"&amp;" yyy")</f>
        <v>Mar 2025</v>
      </c>
    </row>
    <row r="138" spans="1:12" x14ac:dyDescent="0.3">
      <c r="A138" s="5">
        <v>2051</v>
      </c>
      <c r="B138" s="6">
        <v>45732</v>
      </c>
      <c r="C138" s="7" t="s">
        <v>402</v>
      </c>
      <c r="D138" s="7" t="s">
        <v>45</v>
      </c>
      <c r="E138" s="7" t="s">
        <v>24</v>
      </c>
      <c r="F138" s="7">
        <v>3</v>
      </c>
      <c r="G138" s="8">
        <v>741.11</v>
      </c>
      <c r="H138" s="7" t="s">
        <v>58</v>
      </c>
      <c r="I138" s="7" t="s">
        <v>25</v>
      </c>
      <c r="J138" s="7" t="s">
        <v>403</v>
      </c>
      <c r="K138" s="9">
        <v>2223.33</v>
      </c>
      <c r="L138" s="7" t="str">
        <f>TEXT(Table1[[#This Row],[Date]],"MMM"&amp;" yyy")</f>
        <v>Mar 2025</v>
      </c>
    </row>
    <row r="139" spans="1:12" x14ac:dyDescent="0.3">
      <c r="A139" s="5">
        <v>8367</v>
      </c>
      <c r="B139" s="6">
        <v>45733</v>
      </c>
      <c r="C139" s="7" t="s">
        <v>283</v>
      </c>
      <c r="D139" s="7" t="s">
        <v>48</v>
      </c>
      <c r="E139" s="7" t="s">
        <v>20</v>
      </c>
      <c r="F139" s="7">
        <v>2</v>
      </c>
      <c r="G139" s="8">
        <v>2605.64</v>
      </c>
      <c r="H139" s="7" t="s">
        <v>58</v>
      </c>
      <c r="I139" s="7" t="s">
        <v>29</v>
      </c>
      <c r="J139" s="7" t="s">
        <v>284</v>
      </c>
      <c r="K139" s="9">
        <v>5211.28</v>
      </c>
      <c r="L139" s="7" t="str">
        <f>TEXT(Table1[[#This Row],[Date]],"MMM"&amp;" yyy")</f>
        <v>Mar 2025</v>
      </c>
    </row>
    <row r="140" spans="1:12" x14ac:dyDescent="0.3">
      <c r="A140" s="5">
        <v>9924</v>
      </c>
      <c r="B140" s="6">
        <v>45733</v>
      </c>
      <c r="C140" s="7" t="s">
        <v>576</v>
      </c>
      <c r="D140" s="7" t="s">
        <v>19</v>
      </c>
      <c r="E140" s="7" t="s">
        <v>24</v>
      </c>
      <c r="F140" s="7">
        <v>5</v>
      </c>
      <c r="G140" s="8">
        <v>2951.64</v>
      </c>
      <c r="H140" s="7" t="s">
        <v>15</v>
      </c>
      <c r="I140" s="7" t="s">
        <v>25</v>
      </c>
      <c r="J140" s="7" t="s">
        <v>577</v>
      </c>
      <c r="K140" s="9">
        <v>14758.199999999999</v>
      </c>
      <c r="L140" s="7" t="str">
        <f>TEXT(Table1[[#This Row],[Date]],"MMM"&amp;" yyy")</f>
        <v>Mar 2025</v>
      </c>
    </row>
    <row r="141" spans="1:12" x14ac:dyDescent="0.3">
      <c r="A141" s="5">
        <v>3396</v>
      </c>
      <c r="B141" s="6">
        <v>45734</v>
      </c>
      <c r="C141" s="7" t="s">
        <v>380</v>
      </c>
      <c r="D141" s="7" t="s">
        <v>55</v>
      </c>
      <c r="E141" s="7" t="s">
        <v>20</v>
      </c>
      <c r="F141" s="7">
        <v>5</v>
      </c>
      <c r="G141" s="8">
        <v>2123.98</v>
      </c>
      <c r="H141" s="7" t="s">
        <v>37</v>
      </c>
      <c r="I141" s="7" t="s">
        <v>16</v>
      </c>
      <c r="J141" s="7" t="s">
        <v>381</v>
      </c>
      <c r="K141" s="9">
        <v>10619.9</v>
      </c>
      <c r="L141" s="7" t="str">
        <f>TEXT(Table1[[#This Row],[Date]],"MMM"&amp;" yyy")</f>
        <v>Mar 2025</v>
      </c>
    </row>
    <row r="142" spans="1:12" x14ac:dyDescent="0.3">
      <c r="A142" s="5">
        <v>3985</v>
      </c>
      <c r="B142" s="6">
        <v>45734</v>
      </c>
      <c r="C142" s="7" t="s">
        <v>121</v>
      </c>
      <c r="D142" s="7" t="s">
        <v>48</v>
      </c>
      <c r="E142" s="7" t="s">
        <v>14</v>
      </c>
      <c r="F142" s="7">
        <v>3</v>
      </c>
      <c r="G142" s="8">
        <v>3750.62</v>
      </c>
      <c r="H142" s="7" t="s">
        <v>58</v>
      </c>
      <c r="I142" s="7" t="s">
        <v>25</v>
      </c>
      <c r="J142" s="7" t="s">
        <v>122</v>
      </c>
      <c r="K142" s="9">
        <v>11251.86</v>
      </c>
      <c r="L142" s="7" t="str">
        <f>TEXT(Table1[[#This Row],[Date]],"MMM"&amp;" yyy")</f>
        <v>Mar 2025</v>
      </c>
    </row>
    <row r="143" spans="1:12" x14ac:dyDescent="0.3">
      <c r="A143" s="5">
        <v>1581</v>
      </c>
      <c r="B143" s="6">
        <v>45736</v>
      </c>
      <c r="C143" s="7" t="s">
        <v>165</v>
      </c>
      <c r="D143" s="7" t="s">
        <v>28</v>
      </c>
      <c r="E143" s="7" t="s">
        <v>20</v>
      </c>
      <c r="F143" s="7">
        <v>1</v>
      </c>
      <c r="G143" s="8">
        <v>3415.38</v>
      </c>
      <c r="H143" s="7" t="s">
        <v>58</v>
      </c>
      <c r="I143" s="7" t="s">
        <v>25</v>
      </c>
      <c r="J143" s="7" t="s">
        <v>166</v>
      </c>
      <c r="K143" s="9">
        <v>3415.38</v>
      </c>
      <c r="L143" s="7" t="str">
        <f>TEXT(Table1[[#This Row],[Date]],"MMM"&amp;" yyy")</f>
        <v>Mar 2025</v>
      </c>
    </row>
    <row r="144" spans="1:12" x14ac:dyDescent="0.3">
      <c r="A144" s="5">
        <v>6921</v>
      </c>
      <c r="B144" s="6">
        <v>45736</v>
      </c>
      <c r="C144" s="7" t="s">
        <v>103</v>
      </c>
      <c r="D144" s="7" t="s">
        <v>55</v>
      </c>
      <c r="E144" s="7" t="s">
        <v>20</v>
      </c>
      <c r="F144" s="7">
        <v>2</v>
      </c>
      <c r="G144" s="8">
        <v>1822.83</v>
      </c>
      <c r="H144" s="7" t="s">
        <v>37</v>
      </c>
      <c r="I144" s="7" t="s">
        <v>29</v>
      </c>
      <c r="J144" s="7" t="s">
        <v>104</v>
      </c>
      <c r="K144" s="9">
        <v>3645.66</v>
      </c>
      <c r="L144" s="7" t="str">
        <f>TEXT(Table1[[#This Row],[Date]],"MMM"&amp;" yyy")</f>
        <v>Mar 2025</v>
      </c>
    </row>
    <row r="145" spans="1:12" x14ac:dyDescent="0.3">
      <c r="A145" s="5">
        <v>6565</v>
      </c>
      <c r="B145" s="6">
        <v>45737</v>
      </c>
      <c r="C145" s="7" t="s">
        <v>404</v>
      </c>
      <c r="D145" s="7" t="s">
        <v>48</v>
      </c>
      <c r="E145" s="7" t="s">
        <v>20</v>
      </c>
      <c r="F145" s="7">
        <v>1</v>
      </c>
      <c r="G145" s="8">
        <v>2965.42</v>
      </c>
      <c r="H145" s="7" t="s">
        <v>37</v>
      </c>
      <c r="I145" s="7" t="s">
        <v>29</v>
      </c>
      <c r="J145" s="7" t="s">
        <v>405</v>
      </c>
      <c r="K145" s="9">
        <v>2965.42</v>
      </c>
      <c r="L145" s="7" t="str">
        <f>TEXT(Table1[[#This Row],[Date]],"MMM"&amp;" yyy")</f>
        <v>Mar 2025</v>
      </c>
    </row>
    <row r="146" spans="1:12" x14ac:dyDescent="0.3">
      <c r="A146" s="5">
        <v>7064</v>
      </c>
      <c r="B146" s="6">
        <v>45737</v>
      </c>
      <c r="C146" s="7" t="s">
        <v>291</v>
      </c>
      <c r="D146" s="7" t="s">
        <v>32</v>
      </c>
      <c r="E146" s="7" t="s">
        <v>24</v>
      </c>
      <c r="F146" s="7">
        <v>5</v>
      </c>
      <c r="G146" s="8">
        <v>1252.19</v>
      </c>
      <c r="H146" s="7" t="s">
        <v>58</v>
      </c>
      <c r="I146" s="7" t="s">
        <v>16</v>
      </c>
      <c r="J146" s="7" t="s">
        <v>292</v>
      </c>
      <c r="K146" s="9">
        <v>6260.9500000000007</v>
      </c>
      <c r="L146" s="7" t="str">
        <f>TEXT(Table1[[#This Row],[Date]],"MMM"&amp;" yyy")</f>
        <v>Mar 2025</v>
      </c>
    </row>
    <row r="147" spans="1:12" x14ac:dyDescent="0.3">
      <c r="A147" s="5">
        <v>7744</v>
      </c>
      <c r="B147" s="6">
        <v>45737</v>
      </c>
      <c r="C147" s="7" t="s">
        <v>418</v>
      </c>
      <c r="D147" s="7" t="s">
        <v>19</v>
      </c>
      <c r="E147" s="7" t="s">
        <v>20</v>
      </c>
      <c r="F147" s="7">
        <v>2</v>
      </c>
      <c r="G147" s="8">
        <v>1701.89</v>
      </c>
      <c r="H147" s="7" t="s">
        <v>15</v>
      </c>
      <c r="I147" s="7" t="s">
        <v>16</v>
      </c>
      <c r="J147" s="7" t="s">
        <v>419</v>
      </c>
      <c r="K147" s="9">
        <v>3403.78</v>
      </c>
      <c r="L147" s="7" t="str">
        <f>TEXT(Table1[[#This Row],[Date]],"MMM"&amp;" yyy")</f>
        <v>Mar 2025</v>
      </c>
    </row>
    <row r="148" spans="1:12" x14ac:dyDescent="0.3">
      <c r="A148" s="5">
        <v>4833</v>
      </c>
      <c r="B148" s="6">
        <v>45738</v>
      </c>
      <c r="C148" s="7" t="s">
        <v>111</v>
      </c>
      <c r="D148" s="7" t="s">
        <v>19</v>
      </c>
      <c r="E148" s="7" t="s">
        <v>20</v>
      </c>
      <c r="F148" s="7">
        <v>2</v>
      </c>
      <c r="G148" s="8">
        <v>2950.63</v>
      </c>
      <c r="H148" s="7" t="s">
        <v>37</v>
      </c>
      <c r="I148" s="7" t="s">
        <v>25</v>
      </c>
      <c r="J148" s="7" t="s">
        <v>112</v>
      </c>
      <c r="K148" s="9">
        <v>5901.26</v>
      </c>
      <c r="L148" s="7" t="str">
        <f>TEXT(Table1[[#This Row],[Date]],"MMM"&amp;" yyy")</f>
        <v>Mar 2025</v>
      </c>
    </row>
    <row r="149" spans="1:12" x14ac:dyDescent="0.3">
      <c r="A149" s="5">
        <v>7976</v>
      </c>
      <c r="B149" s="6">
        <v>45738</v>
      </c>
      <c r="C149" s="7" t="s">
        <v>426</v>
      </c>
      <c r="D149" s="7" t="s">
        <v>45</v>
      </c>
      <c r="E149" s="7" t="s">
        <v>14</v>
      </c>
      <c r="F149" s="7">
        <v>5</v>
      </c>
      <c r="G149" s="8">
        <v>752.91</v>
      </c>
      <c r="H149" s="7" t="s">
        <v>37</v>
      </c>
      <c r="I149" s="7" t="s">
        <v>16</v>
      </c>
      <c r="J149" s="7" t="s">
        <v>427</v>
      </c>
      <c r="K149" s="9">
        <v>3764.5499999999997</v>
      </c>
      <c r="L149" s="7" t="str">
        <f>TEXT(Table1[[#This Row],[Date]],"MMM"&amp;" yyy")</f>
        <v>Mar 2025</v>
      </c>
    </row>
    <row r="150" spans="1:12" x14ac:dyDescent="0.3">
      <c r="A150" s="5">
        <v>8732</v>
      </c>
      <c r="B150" s="6">
        <v>45738</v>
      </c>
      <c r="C150" s="7" t="s">
        <v>620</v>
      </c>
      <c r="D150" s="7" t="s">
        <v>55</v>
      </c>
      <c r="E150" s="7" t="s">
        <v>20</v>
      </c>
      <c r="F150" s="7">
        <v>2</v>
      </c>
      <c r="G150" s="8">
        <v>3857.23</v>
      </c>
      <c r="H150" s="7" t="s">
        <v>37</v>
      </c>
      <c r="I150" s="7" t="s">
        <v>29</v>
      </c>
      <c r="J150" s="7" t="s">
        <v>621</v>
      </c>
      <c r="K150" s="9">
        <v>7714.46</v>
      </c>
      <c r="L150" s="7" t="str">
        <f>TEXT(Table1[[#This Row],[Date]],"MMM"&amp;" yyy")</f>
        <v>Mar 2025</v>
      </c>
    </row>
    <row r="151" spans="1:12" x14ac:dyDescent="0.3">
      <c r="A151" s="5">
        <v>4948</v>
      </c>
      <c r="B151" s="6">
        <v>45740</v>
      </c>
      <c r="C151" s="7" t="s">
        <v>493</v>
      </c>
      <c r="D151" s="7" t="s">
        <v>23</v>
      </c>
      <c r="E151" s="7" t="s">
        <v>14</v>
      </c>
      <c r="F151" s="7">
        <v>1</v>
      </c>
      <c r="G151" s="8">
        <v>4664.21</v>
      </c>
      <c r="H151" s="7" t="s">
        <v>15</v>
      </c>
      <c r="I151" s="7" t="s">
        <v>29</v>
      </c>
      <c r="J151" s="7" t="s">
        <v>494</v>
      </c>
      <c r="K151" s="9">
        <v>4664.21</v>
      </c>
      <c r="L151" s="7" t="str">
        <f>TEXT(Table1[[#This Row],[Date]],"MMM"&amp;" yyy")</f>
        <v>Mar 2025</v>
      </c>
    </row>
    <row r="152" spans="1:12" x14ac:dyDescent="0.3">
      <c r="A152" s="5">
        <v>5684</v>
      </c>
      <c r="B152" s="6">
        <v>45740</v>
      </c>
      <c r="C152" s="7" t="s">
        <v>85</v>
      </c>
      <c r="D152" s="7" t="s">
        <v>28</v>
      </c>
      <c r="E152" s="7" t="s">
        <v>24</v>
      </c>
      <c r="F152" s="7">
        <v>2</v>
      </c>
      <c r="G152" s="8">
        <v>1367.94</v>
      </c>
      <c r="H152" s="7" t="s">
        <v>15</v>
      </c>
      <c r="I152" s="7" t="s">
        <v>16</v>
      </c>
      <c r="J152" s="7" t="s">
        <v>86</v>
      </c>
      <c r="K152" s="9">
        <v>2735.88</v>
      </c>
      <c r="L152" s="7" t="str">
        <f>TEXT(Table1[[#This Row],[Date]],"MMM"&amp;" yyy")</f>
        <v>Mar 2025</v>
      </c>
    </row>
    <row r="153" spans="1:12" x14ac:dyDescent="0.3">
      <c r="A153" s="5">
        <v>5879</v>
      </c>
      <c r="B153" s="6">
        <v>45740</v>
      </c>
      <c r="C153" s="7" t="s">
        <v>445</v>
      </c>
      <c r="D153" s="7" t="s">
        <v>19</v>
      </c>
      <c r="E153" s="7" t="s">
        <v>24</v>
      </c>
      <c r="F153" s="7">
        <v>5</v>
      </c>
      <c r="G153" s="8">
        <v>732.97</v>
      </c>
      <c r="H153" s="7" t="s">
        <v>15</v>
      </c>
      <c r="I153" s="7" t="s">
        <v>25</v>
      </c>
      <c r="J153" s="7" t="s">
        <v>446</v>
      </c>
      <c r="K153" s="9">
        <v>3664.8500000000004</v>
      </c>
      <c r="L153" s="7" t="str">
        <f>TEXT(Table1[[#This Row],[Date]],"MMM"&amp;" yyy")</f>
        <v>Mar 2025</v>
      </c>
    </row>
    <row r="154" spans="1:12" x14ac:dyDescent="0.3">
      <c r="A154" s="5">
        <v>7931</v>
      </c>
      <c r="B154" s="6">
        <v>45741</v>
      </c>
      <c r="C154" s="7" t="s">
        <v>654</v>
      </c>
      <c r="D154" s="7" t="s">
        <v>45</v>
      </c>
      <c r="E154" s="7" t="s">
        <v>20</v>
      </c>
      <c r="F154" s="7">
        <v>3</v>
      </c>
      <c r="G154" s="8">
        <v>1973.05</v>
      </c>
      <c r="H154" s="7" t="s">
        <v>58</v>
      </c>
      <c r="I154" s="7" t="s">
        <v>25</v>
      </c>
      <c r="J154" s="7" t="s">
        <v>655</v>
      </c>
      <c r="K154" s="9">
        <v>5919.15</v>
      </c>
      <c r="L154" s="7" t="str">
        <f>TEXT(Table1[[#This Row],[Date]],"MMM"&amp;" yyy")</f>
        <v>Mar 2025</v>
      </c>
    </row>
    <row r="155" spans="1:12" x14ac:dyDescent="0.3">
      <c r="A155" s="5">
        <v>7981</v>
      </c>
      <c r="B155" s="6">
        <v>45741</v>
      </c>
      <c r="C155" s="7" t="s">
        <v>301</v>
      </c>
      <c r="D155" s="7" t="s">
        <v>42</v>
      </c>
      <c r="E155" s="7" t="s">
        <v>24</v>
      </c>
      <c r="F155" s="7">
        <v>5</v>
      </c>
      <c r="G155" s="8">
        <v>2659.63</v>
      </c>
      <c r="H155" s="7" t="s">
        <v>37</v>
      </c>
      <c r="I155" s="7" t="s">
        <v>29</v>
      </c>
      <c r="J155" s="7" t="s">
        <v>302</v>
      </c>
      <c r="K155" s="9">
        <v>13298.150000000001</v>
      </c>
      <c r="L155" s="7" t="str">
        <f>TEXT(Table1[[#This Row],[Date]],"MMM"&amp;" yyy")</f>
        <v>Mar 2025</v>
      </c>
    </row>
    <row r="156" spans="1:12" x14ac:dyDescent="0.3">
      <c r="A156" s="5">
        <v>5142</v>
      </c>
      <c r="B156" s="6">
        <v>45742</v>
      </c>
      <c r="C156" s="7" t="s">
        <v>519</v>
      </c>
      <c r="D156" s="7" t="s">
        <v>65</v>
      </c>
      <c r="E156" s="7" t="s">
        <v>24</v>
      </c>
      <c r="F156" s="7">
        <v>3</v>
      </c>
      <c r="G156" s="8">
        <v>2633.22</v>
      </c>
      <c r="H156" s="7" t="s">
        <v>37</v>
      </c>
      <c r="I156" s="7" t="s">
        <v>29</v>
      </c>
      <c r="J156" s="7" t="s">
        <v>520</v>
      </c>
      <c r="K156" s="9">
        <v>7899.66</v>
      </c>
      <c r="L156" s="7" t="str">
        <f>TEXT(Table1[[#This Row],[Date]],"MMM"&amp;" yyy")</f>
        <v>Mar 2025</v>
      </c>
    </row>
    <row r="157" spans="1:12" x14ac:dyDescent="0.3">
      <c r="A157" s="5">
        <v>7062</v>
      </c>
      <c r="B157" s="6">
        <v>45742</v>
      </c>
      <c r="C157" s="7" t="s">
        <v>342</v>
      </c>
      <c r="D157" s="7" t="s">
        <v>23</v>
      </c>
      <c r="E157" s="7" t="s">
        <v>14</v>
      </c>
      <c r="F157" s="7">
        <v>3</v>
      </c>
      <c r="G157" s="8">
        <v>3010.34</v>
      </c>
      <c r="H157" s="7" t="s">
        <v>37</v>
      </c>
      <c r="I157" s="7" t="s">
        <v>25</v>
      </c>
      <c r="J157" s="7" t="s">
        <v>343</v>
      </c>
      <c r="K157" s="9">
        <v>9031.02</v>
      </c>
      <c r="L157" s="7" t="str">
        <f>TEXT(Table1[[#This Row],[Date]],"MMM"&amp;" yyy")</f>
        <v>Mar 2025</v>
      </c>
    </row>
    <row r="158" spans="1:12" x14ac:dyDescent="0.3">
      <c r="A158" s="5">
        <v>5375</v>
      </c>
      <c r="B158" s="6">
        <v>45743</v>
      </c>
      <c r="C158" s="7" t="s">
        <v>281</v>
      </c>
      <c r="D158" s="7" t="s">
        <v>28</v>
      </c>
      <c r="E158" s="7" t="s">
        <v>14</v>
      </c>
      <c r="F158" s="7">
        <v>5</v>
      </c>
      <c r="G158" s="8">
        <v>3902.89</v>
      </c>
      <c r="H158" s="7" t="s">
        <v>58</v>
      </c>
      <c r="I158" s="7" t="s">
        <v>29</v>
      </c>
      <c r="J158" s="7" t="s">
        <v>282</v>
      </c>
      <c r="K158" s="9">
        <v>19514.45</v>
      </c>
      <c r="L158" s="7" t="str">
        <f>TEXT(Table1[[#This Row],[Date]],"MMM"&amp;" yyy")</f>
        <v>Mar 2025</v>
      </c>
    </row>
    <row r="159" spans="1:12" x14ac:dyDescent="0.3">
      <c r="A159" s="5">
        <v>7791</v>
      </c>
      <c r="B159" s="6">
        <v>45743</v>
      </c>
      <c r="C159" s="7" t="s">
        <v>560</v>
      </c>
      <c r="D159" s="7" t="s">
        <v>45</v>
      </c>
      <c r="E159" s="7" t="s">
        <v>20</v>
      </c>
      <c r="F159" s="7">
        <v>1</v>
      </c>
      <c r="G159" s="8">
        <v>716.77</v>
      </c>
      <c r="H159" s="7" t="s">
        <v>15</v>
      </c>
      <c r="I159" s="7" t="s">
        <v>29</v>
      </c>
      <c r="J159" s="7" t="s">
        <v>561</v>
      </c>
      <c r="K159" s="9">
        <v>716.77</v>
      </c>
      <c r="L159" s="7" t="str">
        <f>TEXT(Table1[[#This Row],[Date]],"MMM"&amp;" yyy")</f>
        <v>Mar 2025</v>
      </c>
    </row>
    <row r="160" spans="1:12" x14ac:dyDescent="0.3">
      <c r="A160" s="5">
        <v>1692</v>
      </c>
      <c r="B160" s="6">
        <v>45744</v>
      </c>
      <c r="C160" s="7" t="s">
        <v>600</v>
      </c>
      <c r="D160" s="7" t="s">
        <v>65</v>
      </c>
      <c r="E160" s="7" t="s">
        <v>24</v>
      </c>
      <c r="F160" s="7">
        <v>2</v>
      </c>
      <c r="G160" s="8">
        <v>1115.74</v>
      </c>
      <c r="H160" s="7" t="s">
        <v>58</v>
      </c>
      <c r="I160" s="7" t="s">
        <v>29</v>
      </c>
      <c r="J160" s="7" t="s">
        <v>601</v>
      </c>
      <c r="K160" s="9">
        <v>2231.48</v>
      </c>
      <c r="L160" s="7" t="str">
        <f>TEXT(Table1[[#This Row],[Date]],"MMM"&amp;" yyy")</f>
        <v>Mar 2025</v>
      </c>
    </row>
    <row r="161" spans="1:12" x14ac:dyDescent="0.3">
      <c r="A161" s="5">
        <v>2794</v>
      </c>
      <c r="B161" s="6">
        <v>45745</v>
      </c>
      <c r="C161" s="7" t="s">
        <v>530</v>
      </c>
      <c r="D161" s="7" t="s">
        <v>28</v>
      </c>
      <c r="E161" s="7" t="s">
        <v>14</v>
      </c>
      <c r="F161" s="7">
        <v>2</v>
      </c>
      <c r="G161" s="8">
        <v>3654.86</v>
      </c>
      <c r="H161" s="7" t="s">
        <v>37</v>
      </c>
      <c r="I161" s="7" t="s">
        <v>29</v>
      </c>
      <c r="J161" s="7" t="s">
        <v>531</v>
      </c>
      <c r="K161" s="9">
        <v>7309.72</v>
      </c>
      <c r="L161" s="7" t="str">
        <f>TEXT(Table1[[#This Row],[Date]],"MMM"&amp;" yyy")</f>
        <v>Mar 2025</v>
      </c>
    </row>
    <row r="162" spans="1:12" x14ac:dyDescent="0.3">
      <c r="A162" s="5">
        <v>2794</v>
      </c>
      <c r="B162" s="6">
        <v>45745</v>
      </c>
      <c r="C162" s="7" t="s">
        <v>530</v>
      </c>
      <c r="D162" s="7" t="s">
        <v>28</v>
      </c>
      <c r="E162" s="7" t="s">
        <v>14</v>
      </c>
      <c r="F162" s="7">
        <v>2</v>
      </c>
      <c r="G162" s="8">
        <v>3654.86</v>
      </c>
      <c r="H162" s="7" t="s">
        <v>37</v>
      </c>
      <c r="I162" s="7" t="s">
        <v>29</v>
      </c>
      <c r="J162" s="7" t="s">
        <v>531</v>
      </c>
      <c r="K162" s="9">
        <v>7309.72</v>
      </c>
      <c r="L162" s="7" t="str">
        <f>TEXT(Table1[[#This Row],[Date]],"MMM"&amp;" yyy")</f>
        <v>Mar 2025</v>
      </c>
    </row>
    <row r="163" spans="1:12" x14ac:dyDescent="0.3">
      <c r="A163" s="5">
        <v>8762</v>
      </c>
      <c r="B163" s="6">
        <v>45745</v>
      </c>
      <c r="C163" s="7" t="s">
        <v>495</v>
      </c>
      <c r="D163" s="7" t="s">
        <v>45</v>
      </c>
      <c r="E163" s="7" t="s">
        <v>14</v>
      </c>
      <c r="F163" s="7">
        <v>2</v>
      </c>
      <c r="G163" s="8">
        <v>2122.58</v>
      </c>
      <c r="H163" s="7" t="s">
        <v>15</v>
      </c>
      <c r="I163" s="7" t="s">
        <v>16</v>
      </c>
      <c r="J163" s="7" t="s">
        <v>496</v>
      </c>
      <c r="K163" s="9">
        <v>4245.16</v>
      </c>
      <c r="L163" s="7" t="str">
        <f>TEXT(Table1[[#This Row],[Date]],"MMM"&amp;" yyy")</f>
        <v>Mar 2025</v>
      </c>
    </row>
    <row r="164" spans="1:12" x14ac:dyDescent="0.3">
      <c r="A164" s="5">
        <v>1018</v>
      </c>
      <c r="B164" s="6">
        <v>45746</v>
      </c>
      <c r="C164" s="7" t="s">
        <v>430</v>
      </c>
      <c r="D164" s="7" t="s">
        <v>65</v>
      </c>
      <c r="E164" s="7" t="s">
        <v>20</v>
      </c>
      <c r="F164" s="7">
        <v>2</v>
      </c>
      <c r="G164" s="8">
        <v>836.78</v>
      </c>
      <c r="H164" s="7" t="s">
        <v>37</v>
      </c>
      <c r="I164" s="7" t="s">
        <v>29</v>
      </c>
      <c r="J164" s="7" t="s">
        <v>431</v>
      </c>
      <c r="K164" s="9">
        <v>1673.56</v>
      </c>
      <c r="L164" s="7" t="str">
        <f>TEXT(Table1[[#This Row],[Date]],"MMM"&amp;" yyy")</f>
        <v>Mar 2025</v>
      </c>
    </row>
    <row r="165" spans="1:12" x14ac:dyDescent="0.3">
      <c r="A165" s="5">
        <v>5527</v>
      </c>
      <c r="B165" s="6">
        <v>45746</v>
      </c>
      <c r="C165" s="7" t="s">
        <v>552</v>
      </c>
      <c r="D165" s="7" t="s">
        <v>48</v>
      </c>
      <c r="E165" s="7" t="s">
        <v>20</v>
      </c>
      <c r="F165" s="7">
        <v>3</v>
      </c>
      <c r="G165" s="8">
        <v>4028.58</v>
      </c>
      <c r="H165" s="7" t="s">
        <v>58</v>
      </c>
      <c r="I165" s="7" t="s">
        <v>25</v>
      </c>
      <c r="J165" s="7" t="s">
        <v>553</v>
      </c>
      <c r="K165" s="9">
        <v>12085.74</v>
      </c>
      <c r="L165" s="7" t="str">
        <f>TEXT(Table1[[#This Row],[Date]],"MMM"&amp;" yyy")</f>
        <v>Mar 2025</v>
      </c>
    </row>
    <row r="166" spans="1:12" x14ac:dyDescent="0.3">
      <c r="A166" s="5">
        <v>8547</v>
      </c>
      <c r="B166" s="6">
        <v>45746</v>
      </c>
      <c r="C166" s="7" t="s">
        <v>322</v>
      </c>
      <c r="D166" s="7" t="s">
        <v>32</v>
      </c>
      <c r="E166" s="7" t="s">
        <v>20</v>
      </c>
      <c r="F166" s="7">
        <v>5</v>
      </c>
      <c r="G166" s="8">
        <v>1258.83</v>
      </c>
      <c r="H166" s="7" t="s">
        <v>15</v>
      </c>
      <c r="I166" s="7" t="s">
        <v>25</v>
      </c>
      <c r="J166" s="7" t="s">
        <v>323</v>
      </c>
      <c r="K166" s="9">
        <v>6294.15</v>
      </c>
      <c r="L166" s="7" t="str">
        <f>TEXT(Table1[[#This Row],[Date]],"MMM"&amp;" yyy")</f>
        <v>Mar 2025</v>
      </c>
    </row>
    <row r="167" spans="1:12" x14ac:dyDescent="0.3">
      <c r="A167" s="5">
        <v>9769</v>
      </c>
      <c r="B167" s="6">
        <v>45746</v>
      </c>
      <c r="C167" s="7" t="s">
        <v>233</v>
      </c>
      <c r="D167" s="7" t="s">
        <v>55</v>
      </c>
      <c r="E167" s="7" t="s">
        <v>24</v>
      </c>
      <c r="F167" s="7">
        <v>3</v>
      </c>
      <c r="G167" s="8">
        <v>501.64</v>
      </c>
      <c r="H167" s="7" t="s">
        <v>37</v>
      </c>
      <c r="I167" s="7" t="s">
        <v>29</v>
      </c>
      <c r="J167" s="7" t="s">
        <v>234</v>
      </c>
      <c r="K167" s="9">
        <v>1504.92</v>
      </c>
      <c r="L167" s="7" t="str">
        <f>TEXT(Table1[[#This Row],[Date]],"MMM"&amp;" yyy")</f>
        <v>Mar 2025</v>
      </c>
    </row>
    <row r="168" spans="1:12" x14ac:dyDescent="0.3">
      <c r="A168" s="5">
        <v>6056</v>
      </c>
      <c r="B168" s="6">
        <v>45749</v>
      </c>
      <c r="C168" s="7" t="s">
        <v>297</v>
      </c>
      <c r="D168" s="7" t="s">
        <v>19</v>
      </c>
      <c r="E168" s="7" t="s">
        <v>14</v>
      </c>
      <c r="F168" s="7">
        <v>3</v>
      </c>
      <c r="G168" s="8">
        <v>1147.48</v>
      </c>
      <c r="H168" s="7" t="s">
        <v>58</v>
      </c>
      <c r="I168" s="7" t="s">
        <v>25</v>
      </c>
      <c r="J168" s="7" t="s">
        <v>298</v>
      </c>
      <c r="K168" s="9">
        <v>3442.44</v>
      </c>
      <c r="L168" s="7" t="str">
        <f>TEXT(Table1[[#This Row],[Date]],"MMM"&amp;" yyy")</f>
        <v>Apr 2025</v>
      </c>
    </row>
    <row r="169" spans="1:12" x14ac:dyDescent="0.3">
      <c r="A169" s="5">
        <v>9973</v>
      </c>
      <c r="B169" s="6">
        <v>45749</v>
      </c>
      <c r="C169" s="7" t="s">
        <v>223</v>
      </c>
      <c r="D169" s="7" t="s">
        <v>28</v>
      </c>
      <c r="E169" s="7" t="s">
        <v>24</v>
      </c>
      <c r="F169" s="7">
        <v>4</v>
      </c>
      <c r="G169" s="8">
        <v>1724.86</v>
      </c>
      <c r="H169" s="7" t="s">
        <v>58</v>
      </c>
      <c r="I169" s="7" t="s">
        <v>29</v>
      </c>
      <c r="J169" s="7" t="s">
        <v>224</v>
      </c>
      <c r="K169" s="9">
        <v>6899.44</v>
      </c>
      <c r="L169" s="7" t="str">
        <f>TEXT(Table1[[#This Row],[Date]],"MMM"&amp;" yyy")</f>
        <v>Apr 2025</v>
      </c>
    </row>
    <row r="170" spans="1:12" x14ac:dyDescent="0.3">
      <c r="A170" s="5">
        <v>2886</v>
      </c>
      <c r="B170" s="6">
        <v>45750</v>
      </c>
      <c r="C170" s="7" t="s">
        <v>564</v>
      </c>
      <c r="D170" s="7" t="s">
        <v>48</v>
      </c>
      <c r="E170" s="7" t="s">
        <v>20</v>
      </c>
      <c r="F170" s="7">
        <v>3</v>
      </c>
      <c r="G170" s="8">
        <v>917.19</v>
      </c>
      <c r="H170" s="7" t="s">
        <v>15</v>
      </c>
      <c r="I170" s="7" t="s">
        <v>16</v>
      </c>
      <c r="J170" s="7" t="s">
        <v>565</v>
      </c>
      <c r="K170" s="9">
        <v>2751.57</v>
      </c>
      <c r="L170" s="7" t="str">
        <f>TEXT(Table1[[#This Row],[Date]],"MMM"&amp;" yyy")</f>
        <v>Apr 2025</v>
      </c>
    </row>
    <row r="171" spans="1:12" x14ac:dyDescent="0.3">
      <c r="A171" s="5">
        <v>5457</v>
      </c>
      <c r="B171" s="6">
        <v>45750</v>
      </c>
      <c r="C171" s="7" t="s">
        <v>590</v>
      </c>
      <c r="D171" s="7" t="s">
        <v>28</v>
      </c>
      <c r="E171" s="7" t="s">
        <v>14</v>
      </c>
      <c r="F171" s="7">
        <v>4</v>
      </c>
      <c r="G171" s="8">
        <v>4763.95</v>
      </c>
      <c r="H171" s="7" t="s">
        <v>58</v>
      </c>
      <c r="I171" s="7" t="s">
        <v>29</v>
      </c>
      <c r="J171" s="7" t="s">
        <v>591</v>
      </c>
      <c r="K171" s="9">
        <v>19055.8</v>
      </c>
      <c r="L171" s="7" t="str">
        <f>TEXT(Table1[[#This Row],[Date]],"MMM"&amp;" yyy")</f>
        <v>Apr 2025</v>
      </c>
    </row>
    <row r="172" spans="1:12" x14ac:dyDescent="0.3">
      <c r="A172" s="5">
        <v>5711</v>
      </c>
      <c r="B172" s="6">
        <v>45751</v>
      </c>
      <c r="C172" s="7" t="s">
        <v>73</v>
      </c>
      <c r="D172" s="7" t="s">
        <v>19</v>
      </c>
      <c r="E172" s="7" t="s">
        <v>24</v>
      </c>
      <c r="F172" s="7">
        <v>1</v>
      </c>
      <c r="G172" s="8">
        <v>4760.88</v>
      </c>
      <c r="H172" s="7" t="s">
        <v>15</v>
      </c>
      <c r="I172" s="7" t="s">
        <v>16</v>
      </c>
      <c r="J172" s="7" t="s">
        <v>74</v>
      </c>
      <c r="K172" s="9">
        <v>4760.88</v>
      </c>
      <c r="L172" s="7" t="str">
        <f>TEXT(Table1[[#This Row],[Date]],"MMM"&amp;" yyy")</f>
        <v>Apr 2025</v>
      </c>
    </row>
    <row r="173" spans="1:12" x14ac:dyDescent="0.3">
      <c r="A173" s="5">
        <v>7819</v>
      </c>
      <c r="B173" s="6">
        <v>45752</v>
      </c>
      <c r="C173" s="7" t="s">
        <v>237</v>
      </c>
      <c r="D173" s="7" t="s">
        <v>19</v>
      </c>
      <c r="E173" s="7" t="s">
        <v>24</v>
      </c>
      <c r="F173" s="7">
        <v>1</v>
      </c>
      <c r="G173" s="8">
        <v>4215.68</v>
      </c>
      <c r="H173" s="7" t="s">
        <v>15</v>
      </c>
      <c r="I173" s="7" t="s">
        <v>16</v>
      </c>
      <c r="J173" s="7" t="s">
        <v>238</v>
      </c>
      <c r="K173" s="9">
        <v>4215.68</v>
      </c>
      <c r="L173" s="7" t="str">
        <f>TEXT(Table1[[#This Row],[Date]],"MMM"&amp;" yyy")</f>
        <v>Apr 2025</v>
      </c>
    </row>
    <row r="174" spans="1:12" x14ac:dyDescent="0.3">
      <c r="A174" s="5">
        <v>7849</v>
      </c>
      <c r="B174" s="6">
        <v>45753</v>
      </c>
      <c r="C174" s="7" t="s">
        <v>566</v>
      </c>
      <c r="D174" s="7" t="s">
        <v>19</v>
      </c>
      <c r="E174" s="7" t="s">
        <v>20</v>
      </c>
      <c r="F174" s="7">
        <v>5</v>
      </c>
      <c r="G174" s="8">
        <v>4611.8599999999997</v>
      </c>
      <c r="H174" s="7" t="s">
        <v>58</v>
      </c>
      <c r="I174" s="7" t="s">
        <v>16</v>
      </c>
      <c r="J174" s="7" t="s">
        <v>567</v>
      </c>
      <c r="K174" s="9">
        <v>23059.3</v>
      </c>
      <c r="L174" s="7" t="str">
        <f>TEXT(Table1[[#This Row],[Date]],"MMM"&amp;" yyy")</f>
        <v>Apr 2025</v>
      </c>
    </row>
    <row r="175" spans="1:12" x14ac:dyDescent="0.3">
      <c r="A175" s="5">
        <v>3312</v>
      </c>
      <c r="B175" s="6">
        <v>45755</v>
      </c>
      <c r="C175" s="7" t="s">
        <v>465</v>
      </c>
      <c r="D175" s="7" t="s">
        <v>55</v>
      </c>
      <c r="E175" s="7" t="s">
        <v>14</v>
      </c>
      <c r="F175" s="7">
        <v>1</v>
      </c>
      <c r="G175" s="8">
        <v>4146.67</v>
      </c>
      <c r="H175" s="7" t="s">
        <v>58</v>
      </c>
      <c r="I175" s="7" t="s">
        <v>25</v>
      </c>
      <c r="J175" s="7" t="s">
        <v>466</v>
      </c>
      <c r="K175" s="9">
        <v>4146.67</v>
      </c>
      <c r="L175" s="7" t="str">
        <f>TEXT(Table1[[#This Row],[Date]],"MMM"&amp;" yyy")</f>
        <v>Apr 2025</v>
      </c>
    </row>
    <row r="176" spans="1:12" x14ac:dyDescent="0.3">
      <c r="A176" s="5">
        <v>3124</v>
      </c>
      <c r="B176" s="6">
        <v>45757</v>
      </c>
      <c r="C176" s="7" t="s">
        <v>602</v>
      </c>
      <c r="D176" s="7" t="s">
        <v>55</v>
      </c>
      <c r="E176" s="7" t="s">
        <v>14</v>
      </c>
      <c r="F176" s="7">
        <v>2</v>
      </c>
      <c r="G176" s="8">
        <v>159.77000000000001</v>
      </c>
      <c r="H176" s="7" t="s">
        <v>58</v>
      </c>
      <c r="I176" s="7" t="s">
        <v>25</v>
      </c>
      <c r="J176" s="7" t="s">
        <v>603</v>
      </c>
      <c r="K176" s="9">
        <v>319.54000000000002</v>
      </c>
      <c r="L176" s="7" t="str">
        <f>TEXT(Table1[[#This Row],[Date]],"MMM"&amp;" yyy")</f>
        <v>Apr 2025</v>
      </c>
    </row>
    <row r="177" spans="1:12" x14ac:dyDescent="0.3">
      <c r="A177" s="5">
        <v>5129</v>
      </c>
      <c r="B177" s="6">
        <v>45758</v>
      </c>
      <c r="C177" s="7" t="s">
        <v>97</v>
      </c>
      <c r="D177" s="7" t="s">
        <v>55</v>
      </c>
      <c r="E177" s="7" t="s">
        <v>14</v>
      </c>
      <c r="F177" s="7">
        <v>2</v>
      </c>
      <c r="G177" s="8">
        <v>1148.96</v>
      </c>
      <c r="H177" s="7" t="s">
        <v>58</v>
      </c>
      <c r="I177" s="7" t="s">
        <v>25</v>
      </c>
      <c r="J177" s="7" t="s">
        <v>98</v>
      </c>
      <c r="K177" s="9">
        <v>2297.92</v>
      </c>
      <c r="L177" s="7" t="str">
        <f>TEXT(Table1[[#This Row],[Date]],"MMM"&amp;" yyy")</f>
        <v>Apr 2025</v>
      </c>
    </row>
    <row r="178" spans="1:12" x14ac:dyDescent="0.3">
      <c r="A178" s="5">
        <v>6185</v>
      </c>
      <c r="B178" s="6">
        <v>45758</v>
      </c>
      <c r="C178" s="7" t="s">
        <v>467</v>
      </c>
      <c r="D178" s="7" t="s">
        <v>48</v>
      </c>
      <c r="E178" s="7" t="s">
        <v>14</v>
      </c>
      <c r="F178" s="7">
        <v>5</v>
      </c>
      <c r="G178" s="8">
        <v>646.25</v>
      </c>
      <c r="H178" s="7" t="s">
        <v>37</v>
      </c>
      <c r="I178" s="7" t="s">
        <v>25</v>
      </c>
      <c r="J178" s="7" t="s">
        <v>468</v>
      </c>
      <c r="K178" s="9">
        <v>3231.25</v>
      </c>
      <c r="L178" s="7" t="str">
        <f>TEXT(Table1[[#This Row],[Date]],"MMM"&amp;" yyy")</f>
        <v>Apr 2025</v>
      </c>
    </row>
    <row r="179" spans="1:12" x14ac:dyDescent="0.3">
      <c r="A179" s="5">
        <v>2491</v>
      </c>
      <c r="B179" s="6">
        <v>45759</v>
      </c>
      <c r="C179" s="7" t="s">
        <v>163</v>
      </c>
      <c r="D179" s="7" t="s">
        <v>28</v>
      </c>
      <c r="E179" s="7" t="s">
        <v>20</v>
      </c>
      <c r="F179" s="7">
        <v>3</v>
      </c>
      <c r="G179" s="8">
        <v>4363.51</v>
      </c>
      <c r="H179" s="7" t="s">
        <v>15</v>
      </c>
      <c r="I179" s="7" t="s">
        <v>25</v>
      </c>
      <c r="J179" s="7" t="s">
        <v>164</v>
      </c>
      <c r="K179" s="9">
        <v>13090.53</v>
      </c>
      <c r="L179" s="7" t="str">
        <f>TEXT(Table1[[#This Row],[Date]],"MMM"&amp;" yyy")</f>
        <v>Apr 2025</v>
      </c>
    </row>
    <row r="180" spans="1:12" x14ac:dyDescent="0.3">
      <c r="A180" s="5">
        <v>2744</v>
      </c>
      <c r="B180" s="6">
        <v>45760</v>
      </c>
      <c r="C180" s="7" t="s">
        <v>505</v>
      </c>
      <c r="D180" s="7" t="s">
        <v>32</v>
      </c>
      <c r="E180" s="7" t="s">
        <v>20</v>
      </c>
      <c r="F180" s="7">
        <v>3</v>
      </c>
      <c r="G180" s="8">
        <v>450.54</v>
      </c>
      <c r="H180" s="7" t="s">
        <v>15</v>
      </c>
      <c r="I180" s="7" t="s">
        <v>29</v>
      </c>
      <c r="J180" s="7" t="s">
        <v>506</v>
      </c>
      <c r="K180" s="9">
        <v>1351.6200000000001</v>
      </c>
      <c r="L180" s="7" t="str">
        <f>TEXT(Table1[[#This Row],[Date]],"MMM"&amp;" yyy")</f>
        <v>Apr 2025</v>
      </c>
    </row>
    <row r="181" spans="1:12" x14ac:dyDescent="0.3">
      <c r="A181" s="5">
        <v>4704</v>
      </c>
      <c r="B181" s="6">
        <v>45761</v>
      </c>
      <c r="C181" s="7" t="s">
        <v>93</v>
      </c>
      <c r="D181" s="7" t="s">
        <v>65</v>
      </c>
      <c r="E181" s="7" t="s">
        <v>20</v>
      </c>
      <c r="F181" s="7">
        <v>1</v>
      </c>
      <c r="G181" s="8">
        <v>1380.59</v>
      </c>
      <c r="H181" s="7" t="s">
        <v>58</v>
      </c>
      <c r="I181" s="7" t="s">
        <v>29</v>
      </c>
      <c r="J181" s="7" t="s">
        <v>94</v>
      </c>
      <c r="K181" s="9">
        <v>1380.59</v>
      </c>
      <c r="L181" s="7" t="str">
        <f>TEXT(Table1[[#This Row],[Date]],"MMM"&amp;" yyy")</f>
        <v>Apr 2025</v>
      </c>
    </row>
    <row r="182" spans="1:12" x14ac:dyDescent="0.3">
      <c r="A182" s="5">
        <v>5286</v>
      </c>
      <c r="B182" s="6">
        <v>45762</v>
      </c>
      <c r="C182" s="7" t="s">
        <v>143</v>
      </c>
      <c r="D182" s="7" t="s">
        <v>42</v>
      </c>
      <c r="E182" s="7" t="s">
        <v>14</v>
      </c>
      <c r="F182" s="7">
        <v>4</v>
      </c>
      <c r="G182" s="8">
        <v>1426.06</v>
      </c>
      <c r="H182" s="7" t="s">
        <v>37</v>
      </c>
      <c r="I182" s="7" t="s">
        <v>16</v>
      </c>
      <c r="J182" s="7" t="s">
        <v>144</v>
      </c>
      <c r="K182" s="9">
        <v>5704.24</v>
      </c>
      <c r="L182" s="7" t="str">
        <f>TEXT(Table1[[#This Row],[Date]],"MMM"&amp;" yyy")</f>
        <v>Apr 2025</v>
      </c>
    </row>
    <row r="183" spans="1:12" x14ac:dyDescent="0.3">
      <c r="A183" s="5">
        <v>9243</v>
      </c>
      <c r="B183" s="6">
        <v>45762</v>
      </c>
      <c r="C183" s="7" t="s">
        <v>324</v>
      </c>
      <c r="D183" s="7" t="s">
        <v>48</v>
      </c>
      <c r="E183" s="7" t="s">
        <v>24</v>
      </c>
      <c r="F183" s="7">
        <v>1</v>
      </c>
      <c r="G183" s="8">
        <v>1868.68</v>
      </c>
      <c r="H183" s="7" t="s">
        <v>37</v>
      </c>
      <c r="I183" s="7" t="s">
        <v>29</v>
      </c>
      <c r="J183" s="7" t="s">
        <v>325</v>
      </c>
      <c r="K183" s="9">
        <v>1868.68</v>
      </c>
      <c r="L183" s="7" t="str">
        <f>TEXT(Table1[[#This Row],[Date]],"MMM"&amp;" yyy")</f>
        <v>Apr 2025</v>
      </c>
    </row>
    <row r="184" spans="1:12" x14ac:dyDescent="0.3">
      <c r="A184" s="5">
        <v>9606</v>
      </c>
      <c r="B184" s="6">
        <v>45764</v>
      </c>
      <c r="C184" s="7" t="s">
        <v>398</v>
      </c>
      <c r="D184" s="7" t="s">
        <v>48</v>
      </c>
      <c r="E184" s="7" t="s">
        <v>24</v>
      </c>
      <c r="F184" s="7">
        <v>5</v>
      </c>
      <c r="G184" s="8">
        <v>2913.91</v>
      </c>
      <c r="H184" s="7" t="s">
        <v>15</v>
      </c>
      <c r="I184" s="7" t="s">
        <v>29</v>
      </c>
      <c r="J184" s="7" t="s">
        <v>399</v>
      </c>
      <c r="K184" s="9">
        <v>14569.55</v>
      </c>
      <c r="L184" s="7" t="str">
        <f>TEXT(Table1[[#This Row],[Date]],"MMM"&amp;" yyy")</f>
        <v>Apr 2025</v>
      </c>
    </row>
    <row r="185" spans="1:12" x14ac:dyDescent="0.3">
      <c r="A185" s="5">
        <v>1540</v>
      </c>
      <c r="B185" s="6">
        <v>45766</v>
      </c>
      <c r="C185" s="7" t="s">
        <v>187</v>
      </c>
      <c r="D185" s="7" t="s">
        <v>32</v>
      </c>
      <c r="E185" s="7" t="s">
        <v>14</v>
      </c>
      <c r="F185" s="7">
        <v>5</v>
      </c>
      <c r="G185" s="8">
        <v>800.33</v>
      </c>
      <c r="H185" s="7" t="s">
        <v>37</v>
      </c>
      <c r="I185" s="7" t="s">
        <v>25</v>
      </c>
      <c r="J185" s="7" t="s">
        <v>188</v>
      </c>
      <c r="K185" s="9">
        <v>4001.65</v>
      </c>
      <c r="L185" s="7" t="str">
        <f>TEXT(Table1[[#This Row],[Date]],"MMM"&amp;" yyy")</f>
        <v>Apr 2025</v>
      </c>
    </row>
    <row r="186" spans="1:12" x14ac:dyDescent="0.3">
      <c r="A186" s="5">
        <v>1664</v>
      </c>
      <c r="B186" s="6">
        <v>45766</v>
      </c>
      <c r="C186" s="7" t="s">
        <v>374</v>
      </c>
      <c r="D186" s="7" t="s">
        <v>23</v>
      </c>
      <c r="E186" s="7" t="s">
        <v>24</v>
      </c>
      <c r="F186" s="7">
        <v>1</v>
      </c>
      <c r="G186" s="8">
        <v>351.73</v>
      </c>
      <c r="H186" s="7" t="s">
        <v>58</v>
      </c>
      <c r="I186" s="7" t="s">
        <v>25</v>
      </c>
      <c r="J186" s="7" t="s">
        <v>375</v>
      </c>
      <c r="K186" s="9">
        <v>351.73</v>
      </c>
      <c r="L186" s="7" t="str">
        <f>TEXT(Table1[[#This Row],[Date]],"MMM"&amp;" yyy")</f>
        <v>Apr 2025</v>
      </c>
    </row>
    <row r="187" spans="1:12" x14ac:dyDescent="0.3">
      <c r="A187" s="5">
        <v>7797</v>
      </c>
      <c r="B187" s="6">
        <v>45766</v>
      </c>
      <c r="C187" s="7" t="s">
        <v>229</v>
      </c>
      <c r="D187" s="7" t="s">
        <v>13</v>
      </c>
      <c r="E187" s="7" t="s">
        <v>14</v>
      </c>
      <c r="F187" s="7">
        <v>5</v>
      </c>
      <c r="G187" s="8">
        <v>2982.78</v>
      </c>
      <c r="H187" s="7" t="s">
        <v>37</v>
      </c>
      <c r="I187" s="7" t="s">
        <v>29</v>
      </c>
      <c r="J187" s="7" t="s">
        <v>230</v>
      </c>
      <c r="K187" s="9">
        <v>14913.900000000001</v>
      </c>
      <c r="L187" s="7" t="str">
        <f>TEXT(Table1[[#This Row],[Date]],"MMM"&amp;" yyy")</f>
        <v>Apr 2025</v>
      </c>
    </row>
    <row r="188" spans="1:12" x14ac:dyDescent="0.3">
      <c r="A188" s="5">
        <v>1796</v>
      </c>
      <c r="B188" s="6">
        <v>45767</v>
      </c>
      <c r="C188" s="7" t="s">
        <v>340</v>
      </c>
      <c r="D188" s="7" t="s">
        <v>28</v>
      </c>
      <c r="E188" s="7" t="s">
        <v>20</v>
      </c>
      <c r="F188" s="7">
        <v>5</v>
      </c>
      <c r="G188" s="8">
        <v>1733.14</v>
      </c>
      <c r="H188" s="7" t="s">
        <v>15</v>
      </c>
      <c r="I188" s="7" t="s">
        <v>29</v>
      </c>
      <c r="J188" s="7" t="s">
        <v>341</v>
      </c>
      <c r="K188" s="9">
        <v>8665.7000000000007</v>
      </c>
      <c r="L188" s="7" t="str">
        <f>TEXT(Table1[[#This Row],[Date]],"MMM"&amp;" yyy")</f>
        <v>Apr 2025</v>
      </c>
    </row>
    <row r="189" spans="1:12" x14ac:dyDescent="0.3">
      <c r="A189" s="5">
        <v>1754</v>
      </c>
      <c r="B189" s="6">
        <v>45768</v>
      </c>
      <c r="C189" s="7" t="s">
        <v>247</v>
      </c>
      <c r="D189" s="7" t="s">
        <v>65</v>
      </c>
      <c r="E189" s="7" t="s">
        <v>14</v>
      </c>
      <c r="F189" s="7">
        <v>1</v>
      </c>
      <c r="G189" s="8">
        <v>4249.74</v>
      </c>
      <c r="H189" s="7" t="s">
        <v>58</v>
      </c>
      <c r="I189" s="7" t="s">
        <v>29</v>
      </c>
      <c r="J189" s="7" t="s">
        <v>248</v>
      </c>
      <c r="K189" s="9">
        <v>4249.74</v>
      </c>
      <c r="L189" s="7" t="str">
        <f>TEXT(Table1[[#This Row],[Date]],"MMM"&amp;" yyy")</f>
        <v>Apr 2025</v>
      </c>
    </row>
    <row r="190" spans="1:12" x14ac:dyDescent="0.3">
      <c r="A190" s="5">
        <v>5652</v>
      </c>
      <c r="B190" s="6">
        <v>45768</v>
      </c>
      <c r="C190" s="7" t="s">
        <v>550</v>
      </c>
      <c r="D190" s="7" t="s">
        <v>23</v>
      </c>
      <c r="E190" s="7" t="s">
        <v>20</v>
      </c>
      <c r="F190" s="7">
        <v>1</v>
      </c>
      <c r="G190" s="8">
        <v>2091.38</v>
      </c>
      <c r="H190" s="7" t="s">
        <v>37</v>
      </c>
      <c r="I190" s="7" t="s">
        <v>25</v>
      </c>
      <c r="J190" s="7" t="s">
        <v>551</v>
      </c>
      <c r="K190" s="9">
        <v>2091.38</v>
      </c>
      <c r="L190" s="7" t="str">
        <f>TEXT(Table1[[#This Row],[Date]],"MMM"&amp;" yyy")</f>
        <v>Apr 2025</v>
      </c>
    </row>
    <row r="191" spans="1:12" x14ac:dyDescent="0.3">
      <c r="A191" s="5">
        <v>2966</v>
      </c>
      <c r="B191" s="6">
        <v>45769</v>
      </c>
      <c r="C191" s="7" t="s">
        <v>580</v>
      </c>
      <c r="D191" s="7" t="s">
        <v>19</v>
      </c>
      <c r="E191" s="7" t="s">
        <v>24</v>
      </c>
      <c r="F191" s="7">
        <v>3</v>
      </c>
      <c r="G191" s="8">
        <v>2394.39</v>
      </c>
      <c r="H191" s="7" t="s">
        <v>15</v>
      </c>
      <c r="I191" s="7" t="s">
        <v>25</v>
      </c>
      <c r="J191" s="7" t="s">
        <v>581</v>
      </c>
      <c r="K191" s="9">
        <v>7183.17</v>
      </c>
      <c r="L191" s="7" t="str">
        <f>TEXT(Table1[[#This Row],[Date]],"MMM"&amp;" yyy")</f>
        <v>Apr 2025</v>
      </c>
    </row>
    <row r="192" spans="1:12" x14ac:dyDescent="0.3">
      <c r="A192" s="5">
        <v>6193</v>
      </c>
      <c r="B192" s="6">
        <v>45769</v>
      </c>
      <c r="C192" s="7" t="s">
        <v>642</v>
      </c>
      <c r="D192" s="7" t="s">
        <v>28</v>
      </c>
      <c r="E192" s="7" t="s">
        <v>24</v>
      </c>
      <c r="F192" s="7">
        <v>4</v>
      </c>
      <c r="G192" s="8">
        <v>2927.34</v>
      </c>
      <c r="H192" s="7" t="s">
        <v>37</v>
      </c>
      <c r="I192" s="7" t="s">
        <v>16</v>
      </c>
      <c r="J192" s="7" t="s">
        <v>643</v>
      </c>
      <c r="K192" s="9">
        <v>11709.36</v>
      </c>
      <c r="L192" s="7" t="str">
        <f>TEXT(Table1[[#This Row],[Date]],"MMM"&amp;" yyy")</f>
        <v>Apr 2025</v>
      </c>
    </row>
    <row r="193" spans="1:12" x14ac:dyDescent="0.3">
      <c r="A193" s="5">
        <v>6326</v>
      </c>
      <c r="B193" s="6">
        <v>45771</v>
      </c>
      <c r="C193" s="7" t="s">
        <v>83</v>
      </c>
      <c r="D193" s="7" t="s">
        <v>48</v>
      </c>
      <c r="E193" s="7" t="s">
        <v>20</v>
      </c>
      <c r="F193" s="7">
        <v>4</v>
      </c>
      <c r="G193" s="8">
        <v>384.26</v>
      </c>
      <c r="H193" s="7" t="s">
        <v>58</v>
      </c>
      <c r="I193" s="7" t="s">
        <v>29</v>
      </c>
      <c r="J193" s="7" t="s">
        <v>84</v>
      </c>
      <c r="K193" s="9">
        <v>1537.04</v>
      </c>
      <c r="L193" s="7" t="str">
        <f>TEXT(Table1[[#This Row],[Date]],"MMM"&amp;" yyy")</f>
        <v>Apr 2025</v>
      </c>
    </row>
    <row r="194" spans="1:12" x14ac:dyDescent="0.3">
      <c r="A194" s="5">
        <v>2830</v>
      </c>
      <c r="B194" s="6">
        <v>45772</v>
      </c>
      <c r="C194" s="7" t="s">
        <v>523</v>
      </c>
      <c r="D194" s="7" t="s">
        <v>28</v>
      </c>
      <c r="E194" s="7" t="s">
        <v>14</v>
      </c>
      <c r="F194" s="7">
        <v>2</v>
      </c>
      <c r="G194" s="8">
        <v>590.11</v>
      </c>
      <c r="H194" s="7" t="s">
        <v>58</v>
      </c>
      <c r="I194" s="7" t="s">
        <v>16</v>
      </c>
      <c r="J194" s="7" t="s">
        <v>524</v>
      </c>
      <c r="K194" s="9">
        <v>1180.22</v>
      </c>
      <c r="L194" s="7" t="str">
        <f>TEXT(Table1[[#This Row],[Date]],"MMM"&amp;" yyy")</f>
        <v>Apr 2025</v>
      </c>
    </row>
    <row r="195" spans="1:12" x14ac:dyDescent="0.3">
      <c r="A195" s="5">
        <v>5461</v>
      </c>
      <c r="B195" s="6">
        <v>45772</v>
      </c>
      <c r="C195" s="7" t="s">
        <v>36</v>
      </c>
      <c r="D195" s="7" t="s">
        <v>13</v>
      </c>
      <c r="E195" s="7" t="s">
        <v>14</v>
      </c>
      <c r="F195" s="7">
        <v>2</v>
      </c>
      <c r="G195" s="8">
        <v>2269.5</v>
      </c>
      <c r="H195" s="7" t="s">
        <v>37</v>
      </c>
      <c r="I195" s="7" t="s">
        <v>29</v>
      </c>
      <c r="J195" s="7" t="s">
        <v>38</v>
      </c>
      <c r="K195" s="9">
        <v>4539</v>
      </c>
      <c r="L195" s="7" t="str">
        <f>TEXT(Table1[[#This Row],[Date]],"MMM"&amp;" yyy")</f>
        <v>Apr 2025</v>
      </c>
    </row>
    <row r="196" spans="1:12" x14ac:dyDescent="0.3">
      <c r="A196" s="5">
        <v>8518</v>
      </c>
      <c r="B196" s="6">
        <v>45772</v>
      </c>
      <c r="C196" s="7" t="s">
        <v>453</v>
      </c>
      <c r="D196" s="7" t="s">
        <v>32</v>
      </c>
      <c r="E196" s="7" t="s">
        <v>14</v>
      </c>
      <c r="F196" s="7">
        <v>5</v>
      </c>
      <c r="G196" s="8">
        <v>4594.75</v>
      </c>
      <c r="H196" s="7" t="s">
        <v>58</v>
      </c>
      <c r="I196" s="7" t="s">
        <v>29</v>
      </c>
      <c r="J196" s="7" t="s">
        <v>454</v>
      </c>
      <c r="K196" s="9">
        <v>22973.75</v>
      </c>
      <c r="L196" s="7" t="str">
        <f>TEXT(Table1[[#This Row],[Date]],"MMM"&amp;" yyy")</f>
        <v>Apr 2025</v>
      </c>
    </row>
    <row r="197" spans="1:12" x14ac:dyDescent="0.3">
      <c r="A197" s="5">
        <v>8464</v>
      </c>
      <c r="B197" s="6">
        <v>45773</v>
      </c>
      <c r="C197" s="7" t="s">
        <v>513</v>
      </c>
      <c r="D197" s="7" t="s">
        <v>13</v>
      </c>
      <c r="E197" s="7" t="s">
        <v>24</v>
      </c>
      <c r="F197" s="7">
        <v>1</v>
      </c>
      <c r="G197" s="8">
        <v>795.7</v>
      </c>
      <c r="H197" s="7" t="s">
        <v>15</v>
      </c>
      <c r="I197" s="7" t="s">
        <v>16</v>
      </c>
      <c r="J197" s="7" t="s">
        <v>514</v>
      </c>
      <c r="K197" s="9">
        <v>795.7</v>
      </c>
      <c r="L197" s="7" t="str">
        <f>TEXT(Table1[[#This Row],[Date]],"MMM"&amp;" yyy")</f>
        <v>Apr 2025</v>
      </c>
    </row>
    <row r="198" spans="1:12" x14ac:dyDescent="0.3">
      <c r="A198" s="5">
        <v>7793</v>
      </c>
      <c r="B198" s="6">
        <v>45776</v>
      </c>
      <c r="C198" s="7" t="s">
        <v>630</v>
      </c>
      <c r="D198" s="7" t="s">
        <v>45</v>
      </c>
      <c r="E198" s="7" t="s">
        <v>24</v>
      </c>
      <c r="F198" s="7">
        <v>4</v>
      </c>
      <c r="G198" s="8">
        <v>3555.69</v>
      </c>
      <c r="H198" s="7" t="s">
        <v>15</v>
      </c>
      <c r="I198" s="7" t="s">
        <v>29</v>
      </c>
      <c r="J198" s="7" t="s">
        <v>631</v>
      </c>
      <c r="K198" s="9">
        <v>14222.76</v>
      </c>
      <c r="L198" s="7" t="str">
        <f>TEXT(Table1[[#This Row],[Date]],"MMM"&amp;" yyy")</f>
        <v>Apr 2025</v>
      </c>
    </row>
    <row r="199" spans="1:12" x14ac:dyDescent="0.3">
      <c r="A199" s="5">
        <v>4019</v>
      </c>
      <c r="B199" s="6">
        <v>45777</v>
      </c>
      <c r="C199" s="7" t="s">
        <v>60</v>
      </c>
      <c r="D199" s="7" t="s">
        <v>23</v>
      </c>
      <c r="E199" s="7" t="s">
        <v>20</v>
      </c>
      <c r="F199" s="7">
        <v>4</v>
      </c>
      <c r="G199" s="8">
        <v>2548.65</v>
      </c>
      <c r="H199" s="7" t="s">
        <v>15</v>
      </c>
      <c r="I199" s="7" t="s">
        <v>16</v>
      </c>
      <c r="J199" s="7" t="s">
        <v>61</v>
      </c>
      <c r="K199" s="9">
        <v>10194.6</v>
      </c>
      <c r="L199" s="7" t="str">
        <f>TEXT(Table1[[#This Row],[Date]],"MMM"&amp;" yyy")</f>
        <v>Apr 2025</v>
      </c>
    </row>
    <row r="200" spans="1:12" x14ac:dyDescent="0.3">
      <c r="A200" s="5">
        <v>8447</v>
      </c>
      <c r="B200" s="6">
        <v>45777</v>
      </c>
      <c r="C200" s="7" t="s">
        <v>215</v>
      </c>
      <c r="D200" s="7" t="s">
        <v>32</v>
      </c>
      <c r="E200" s="7" t="s">
        <v>24</v>
      </c>
      <c r="F200" s="7">
        <v>1</v>
      </c>
      <c r="G200" s="8">
        <v>3978.08</v>
      </c>
      <c r="H200" s="7" t="s">
        <v>37</v>
      </c>
      <c r="I200" s="7" t="s">
        <v>25</v>
      </c>
      <c r="J200" s="7" t="s">
        <v>216</v>
      </c>
      <c r="K200" s="9">
        <v>3978.08</v>
      </c>
      <c r="L200" s="7" t="str">
        <f>TEXT(Table1[[#This Row],[Date]],"MMM"&amp;" yyy")</f>
        <v>Apr 2025</v>
      </c>
    </row>
    <row r="201" spans="1:12" x14ac:dyDescent="0.3">
      <c r="A201" s="5">
        <v>6195</v>
      </c>
      <c r="B201" s="6">
        <v>45778</v>
      </c>
      <c r="C201" s="7" t="s">
        <v>71</v>
      </c>
      <c r="D201" s="7" t="s">
        <v>28</v>
      </c>
      <c r="E201" s="7" t="s">
        <v>20</v>
      </c>
      <c r="F201" s="7">
        <v>3</v>
      </c>
      <c r="G201" s="8">
        <v>3216.42</v>
      </c>
      <c r="H201" s="7" t="s">
        <v>37</v>
      </c>
      <c r="I201" s="7" t="s">
        <v>16</v>
      </c>
      <c r="J201" s="7" t="s">
        <v>72</v>
      </c>
      <c r="K201" s="9">
        <v>9649.26</v>
      </c>
      <c r="L201" s="7" t="str">
        <f>TEXT(Table1[[#This Row],[Date]],"MMM"&amp;" yyy")</f>
        <v>May 2025</v>
      </c>
    </row>
    <row r="202" spans="1:12" x14ac:dyDescent="0.3">
      <c r="A202" s="5">
        <v>8631</v>
      </c>
      <c r="B202" s="6">
        <v>45778</v>
      </c>
      <c r="C202" s="7" t="s">
        <v>536</v>
      </c>
      <c r="D202" s="7" t="s">
        <v>13</v>
      </c>
      <c r="E202" s="7" t="s">
        <v>20</v>
      </c>
      <c r="F202" s="7">
        <v>5</v>
      </c>
      <c r="G202" s="8">
        <v>432.3</v>
      </c>
      <c r="H202" s="7" t="s">
        <v>58</v>
      </c>
      <c r="I202" s="7" t="s">
        <v>16</v>
      </c>
      <c r="J202" s="7" t="s">
        <v>537</v>
      </c>
      <c r="K202" s="9">
        <v>2161.5</v>
      </c>
      <c r="L202" s="7" t="str">
        <f>TEXT(Table1[[#This Row],[Date]],"MMM"&amp;" yyy")</f>
        <v>May 2025</v>
      </c>
    </row>
    <row r="203" spans="1:12" x14ac:dyDescent="0.3">
      <c r="A203" s="5">
        <v>9444</v>
      </c>
      <c r="B203" s="6">
        <v>45778</v>
      </c>
      <c r="C203" s="7" t="s">
        <v>107</v>
      </c>
      <c r="D203" s="7" t="s">
        <v>32</v>
      </c>
      <c r="E203" s="7" t="s">
        <v>14</v>
      </c>
      <c r="F203" s="7">
        <v>4</v>
      </c>
      <c r="G203" s="8">
        <v>3759.58</v>
      </c>
      <c r="H203" s="7" t="s">
        <v>58</v>
      </c>
      <c r="I203" s="7" t="s">
        <v>29</v>
      </c>
      <c r="J203" s="7" t="s">
        <v>108</v>
      </c>
      <c r="K203" s="9">
        <v>15038.32</v>
      </c>
      <c r="L203" s="7" t="str">
        <f>TEXT(Table1[[#This Row],[Date]],"MMM"&amp;" yyy")</f>
        <v>May 2025</v>
      </c>
    </row>
    <row r="204" spans="1:12" x14ac:dyDescent="0.3">
      <c r="A204" s="5">
        <v>8932</v>
      </c>
      <c r="B204" s="6">
        <v>45779</v>
      </c>
      <c r="C204" s="7" t="s">
        <v>428</v>
      </c>
      <c r="D204" s="7" t="s">
        <v>65</v>
      </c>
      <c r="E204" s="7" t="s">
        <v>24</v>
      </c>
      <c r="F204" s="7">
        <v>5</v>
      </c>
      <c r="G204" s="8">
        <v>711.32</v>
      </c>
      <c r="H204" s="7" t="s">
        <v>58</v>
      </c>
      <c r="I204" s="7" t="s">
        <v>25</v>
      </c>
      <c r="J204" s="7" t="s">
        <v>429</v>
      </c>
      <c r="K204" s="9">
        <v>3556.6000000000004</v>
      </c>
      <c r="L204" s="7" t="str">
        <f>TEXT(Table1[[#This Row],[Date]],"MMM"&amp;" yyy")</f>
        <v>May 2025</v>
      </c>
    </row>
    <row r="205" spans="1:12" x14ac:dyDescent="0.3">
      <c r="A205" s="5">
        <v>1062</v>
      </c>
      <c r="B205" s="6">
        <v>45780</v>
      </c>
      <c r="C205" s="7" t="s">
        <v>534</v>
      </c>
      <c r="D205" s="7" t="s">
        <v>32</v>
      </c>
      <c r="E205" s="7" t="s">
        <v>14</v>
      </c>
      <c r="F205" s="7">
        <v>1</v>
      </c>
      <c r="G205" s="8">
        <v>3977.43</v>
      </c>
      <c r="H205" s="7" t="s">
        <v>37</v>
      </c>
      <c r="I205" s="7" t="s">
        <v>16</v>
      </c>
      <c r="J205" s="7" t="s">
        <v>535</v>
      </c>
      <c r="K205" s="9">
        <v>3977.43</v>
      </c>
      <c r="L205" s="7" t="str">
        <f>TEXT(Table1[[#This Row],[Date]],"MMM"&amp;" yyy")</f>
        <v>May 2025</v>
      </c>
    </row>
    <row r="206" spans="1:12" x14ac:dyDescent="0.3">
      <c r="A206" s="5">
        <v>5174</v>
      </c>
      <c r="B206" s="6">
        <v>45780</v>
      </c>
      <c r="C206" s="7" t="s">
        <v>47</v>
      </c>
      <c r="D206" s="7" t="s">
        <v>48</v>
      </c>
      <c r="E206" s="7" t="s">
        <v>20</v>
      </c>
      <c r="F206" s="7">
        <v>5</v>
      </c>
      <c r="G206" s="8">
        <v>3916.03</v>
      </c>
      <c r="H206" s="7" t="s">
        <v>37</v>
      </c>
      <c r="I206" s="7" t="s">
        <v>25</v>
      </c>
      <c r="J206" s="7" t="s">
        <v>49</v>
      </c>
      <c r="K206" s="9">
        <v>19580.150000000001</v>
      </c>
      <c r="L206" s="7" t="str">
        <f>TEXT(Table1[[#This Row],[Date]],"MMM"&amp;" yyy")</f>
        <v>May 2025</v>
      </c>
    </row>
    <row r="207" spans="1:12" x14ac:dyDescent="0.3">
      <c r="A207" s="5">
        <v>7219</v>
      </c>
      <c r="B207" s="6">
        <v>45780</v>
      </c>
      <c r="C207" s="7" t="s">
        <v>338</v>
      </c>
      <c r="D207" s="7" t="s">
        <v>48</v>
      </c>
      <c r="E207" s="7" t="s">
        <v>24</v>
      </c>
      <c r="F207" s="7">
        <v>3</v>
      </c>
      <c r="G207" s="8">
        <v>3190.11</v>
      </c>
      <c r="H207" s="7" t="s">
        <v>37</v>
      </c>
      <c r="I207" s="7" t="s">
        <v>16</v>
      </c>
      <c r="J207" s="7" t="s">
        <v>339</v>
      </c>
      <c r="K207" s="9">
        <v>9570.33</v>
      </c>
      <c r="L207" s="7" t="str">
        <f>TEXT(Table1[[#This Row],[Date]],"MMM"&amp;" yyy")</f>
        <v>May 2025</v>
      </c>
    </row>
    <row r="208" spans="1:12" x14ac:dyDescent="0.3">
      <c r="A208" s="5">
        <v>4550</v>
      </c>
      <c r="B208" s="6">
        <v>45781</v>
      </c>
      <c r="C208" s="7" t="s">
        <v>211</v>
      </c>
      <c r="D208" s="7" t="s">
        <v>65</v>
      </c>
      <c r="E208" s="7" t="s">
        <v>20</v>
      </c>
      <c r="F208" s="7">
        <v>4</v>
      </c>
      <c r="G208" s="8">
        <v>3519.79</v>
      </c>
      <c r="H208" s="7" t="s">
        <v>15</v>
      </c>
      <c r="I208" s="7" t="s">
        <v>16</v>
      </c>
      <c r="J208" s="7" t="s">
        <v>212</v>
      </c>
      <c r="K208" s="9">
        <v>14079.16</v>
      </c>
      <c r="L208" s="7" t="str">
        <f>TEXT(Table1[[#This Row],[Date]],"MMM"&amp;" yyy")</f>
        <v>May 2025</v>
      </c>
    </row>
    <row r="209" spans="1:12" x14ac:dyDescent="0.3">
      <c r="A209" s="5">
        <v>5439</v>
      </c>
      <c r="B209" s="6">
        <v>45781</v>
      </c>
      <c r="C209" s="7" t="s">
        <v>79</v>
      </c>
      <c r="D209" s="7" t="s">
        <v>55</v>
      </c>
      <c r="E209" s="7" t="s">
        <v>14</v>
      </c>
      <c r="F209" s="7">
        <v>3</v>
      </c>
      <c r="G209" s="8">
        <v>4214.1099999999997</v>
      </c>
      <c r="H209" s="7" t="s">
        <v>37</v>
      </c>
      <c r="I209" s="7" t="s">
        <v>16</v>
      </c>
      <c r="J209" s="7" t="s">
        <v>80</v>
      </c>
      <c r="K209" s="9">
        <v>12642.329999999998</v>
      </c>
      <c r="L209" s="7" t="str">
        <f>TEXT(Table1[[#This Row],[Date]],"MMM"&amp;" yyy")</f>
        <v>May 2025</v>
      </c>
    </row>
    <row r="210" spans="1:12" x14ac:dyDescent="0.3">
      <c r="A210" s="5">
        <v>6463</v>
      </c>
      <c r="B210" s="6">
        <v>45781</v>
      </c>
      <c r="C210" s="7" t="s">
        <v>44</v>
      </c>
      <c r="D210" s="7" t="s">
        <v>45</v>
      </c>
      <c r="E210" s="7" t="s">
        <v>14</v>
      </c>
      <c r="F210" s="7">
        <v>5</v>
      </c>
      <c r="G210" s="8">
        <v>4230</v>
      </c>
      <c r="H210" s="7" t="s">
        <v>15</v>
      </c>
      <c r="I210" s="7" t="s">
        <v>25</v>
      </c>
      <c r="J210" s="7" t="s">
        <v>46</v>
      </c>
      <c r="K210" s="9">
        <v>21150</v>
      </c>
      <c r="L210" s="7" t="str">
        <f>TEXT(Table1[[#This Row],[Date]],"MMM"&amp;" yyy")</f>
        <v>May 2025</v>
      </c>
    </row>
    <row r="211" spans="1:12" x14ac:dyDescent="0.3">
      <c r="A211" s="5">
        <v>1021</v>
      </c>
      <c r="B211" s="6">
        <v>45782</v>
      </c>
      <c r="C211" s="7" t="s">
        <v>521</v>
      </c>
      <c r="D211" s="7" t="s">
        <v>42</v>
      </c>
      <c r="E211" s="7" t="s">
        <v>24</v>
      </c>
      <c r="F211" s="7">
        <v>4</v>
      </c>
      <c r="G211" s="8">
        <v>4613.29</v>
      </c>
      <c r="H211" s="7" t="s">
        <v>15</v>
      </c>
      <c r="I211" s="7" t="s">
        <v>25</v>
      </c>
      <c r="J211" s="7" t="s">
        <v>522</v>
      </c>
      <c r="K211" s="9">
        <v>18453.16</v>
      </c>
      <c r="L211" s="7" t="str">
        <f>TEXT(Table1[[#This Row],[Date]],"MMM"&amp;" yyy")</f>
        <v>May 2025</v>
      </c>
    </row>
    <row r="212" spans="1:12" x14ac:dyDescent="0.3">
      <c r="A212" s="5">
        <v>3156</v>
      </c>
      <c r="B212" s="6">
        <v>45782</v>
      </c>
      <c r="C212" s="7" t="s">
        <v>644</v>
      </c>
      <c r="D212" s="7" t="s">
        <v>45</v>
      </c>
      <c r="E212" s="7" t="s">
        <v>20</v>
      </c>
      <c r="F212" s="7">
        <v>1</v>
      </c>
      <c r="G212" s="8">
        <v>4459.2299999999996</v>
      </c>
      <c r="H212" s="7" t="s">
        <v>37</v>
      </c>
      <c r="I212" s="7" t="s">
        <v>16</v>
      </c>
      <c r="J212" s="7" t="s">
        <v>645</v>
      </c>
      <c r="K212" s="9">
        <v>4459.2299999999996</v>
      </c>
      <c r="L212" s="7" t="str">
        <f>TEXT(Table1[[#This Row],[Date]],"MMM"&amp;" yyy")</f>
        <v>May 2025</v>
      </c>
    </row>
    <row r="213" spans="1:12" x14ac:dyDescent="0.3">
      <c r="A213" s="5">
        <v>5902</v>
      </c>
      <c r="B213" s="6">
        <v>45782</v>
      </c>
      <c r="C213" s="7" t="s">
        <v>295</v>
      </c>
      <c r="D213" s="7" t="s">
        <v>28</v>
      </c>
      <c r="E213" s="7" t="s">
        <v>14</v>
      </c>
      <c r="F213" s="7">
        <v>2</v>
      </c>
      <c r="G213" s="8">
        <v>1529.94</v>
      </c>
      <c r="H213" s="7" t="s">
        <v>15</v>
      </c>
      <c r="I213" s="7" t="s">
        <v>16</v>
      </c>
      <c r="J213" s="7" t="s">
        <v>296</v>
      </c>
      <c r="K213" s="9">
        <v>3059.88</v>
      </c>
      <c r="L213" s="7" t="str">
        <f>TEXT(Table1[[#This Row],[Date]],"MMM"&amp;" yyy")</f>
        <v>May 2025</v>
      </c>
    </row>
    <row r="214" spans="1:12" x14ac:dyDescent="0.3">
      <c r="A214" s="5">
        <v>9226</v>
      </c>
      <c r="B214" s="6">
        <v>45782</v>
      </c>
      <c r="C214" s="7" t="s">
        <v>556</v>
      </c>
      <c r="D214" s="7" t="s">
        <v>65</v>
      </c>
      <c r="E214" s="7" t="s">
        <v>24</v>
      </c>
      <c r="F214" s="7">
        <v>1</v>
      </c>
      <c r="G214" s="8">
        <v>2608.48</v>
      </c>
      <c r="H214" s="7" t="s">
        <v>58</v>
      </c>
      <c r="I214" s="7" t="s">
        <v>29</v>
      </c>
      <c r="J214" s="7" t="s">
        <v>557</v>
      </c>
      <c r="K214" s="9">
        <v>2608.48</v>
      </c>
      <c r="L214" s="7" t="str">
        <f>TEXT(Table1[[#This Row],[Date]],"MMM"&amp;" yyy")</f>
        <v>May 2025</v>
      </c>
    </row>
    <row r="215" spans="1:12" x14ac:dyDescent="0.3">
      <c r="A215" s="5">
        <v>2975</v>
      </c>
      <c r="B215" s="6">
        <v>45783</v>
      </c>
      <c r="C215" s="7" t="s">
        <v>54</v>
      </c>
      <c r="D215" s="7" t="s">
        <v>55</v>
      </c>
      <c r="E215" s="7" t="s">
        <v>20</v>
      </c>
      <c r="F215" s="7">
        <v>1</v>
      </c>
      <c r="G215" s="8">
        <v>4066.68</v>
      </c>
      <c r="H215" s="7" t="s">
        <v>15</v>
      </c>
      <c r="I215" s="7" t="s">
        <v>29</v>
      </c>
      <c r="J215" s="7" t="s">
        <v>56</v>
      </c>
      <c r="K215" s="9">
        <v>4066.68</v>
      </c>
      <c r="L215" s="7" t="str">
        <f>TEXT(Table1[[#This Row],[Date]],"MMM"&amp;" yyy")</f>
        <v>May 2025</v>
      </c>
    </row>
    <row r="216" spans="1:12" x14ac:dyDescent="0.3">
      <c r="A216" s="5">
        <v>3569</v>
      </c>
      <c r="B216" s="6">
        <v>45783</v>
      </c>
      <c r="C216" s="7" t="s">
        <v>596</v>
      </c>
      <c r="D216" s="7" t="s">
        <v>13</v>
      </c>
      <c r="E216" s="7" t="s">
        <v>14</v>
      </c>
      <c r="F216" s="7">
        <v>2</v>
      </c>
      <c r="G216" s="8">
        <v>3096.15</v>
      </c>
      <c r="H216" s="7" t="s">
        <v>37</v>
      </c>
      <c r="I216" s="7" t="s">
        <v>29</v>
      </c>
      <c r="J216" s="7" t="s">
        <v>597</v>
      </c>
      <c r="K216" s="9">
        <v>6192.3</v>
      </c>
      <c r="L216" s="7" t="str">
        <f>TEXT(Table1[[#This Row],[Date]],"MMM"&amp;" yyy")</f>
        <v>May 2025</v>
      </c>
    </row>
    <row r="217" spans="1:12" x14ac:dyDescent="0.3">
      <c r="A217" s="5">
        <v>8799</v>
      </c>
      <c r="B217" s="6">
        <v>45783</v>
      </c>
      <c r="C217" s="7" t="s">
        <v>487</v>
      </c>
      <c r="D217" s="7" t="s">
        <v>13</v>
      </c>
      <c r="E217" s="7" t="s">
        <v>24</v>
      </c>
      <c r="F217" s="7">
        <v>4</v>
      </c>
      <c r="G217" s="8">
        <v>2045.46</v>
      </c>
      <c r="H217" s="7" t="s">
        <v>37</v>
      </c>
      <c r="I217" s="7" t="s">
        <v>16</v>
      </c>
      <c r="J217" s="7" t="s">
        <v>488</v>
      </c>
      <c r="K217" s="9">
        <v>8181.84</v>
      </c>
      <c r="L217" s="7" t="str">
        <f>TEXT(Table1[[#This Row],[Date]],"MMM"&amp;" yyy")</f>
        <v>May 2025</v>
      </c>
    </row>
    <row r="218" spans="1:12" x14ac:dyDescent="0.3">
      <c r="A218" s="5">
        <v>1191</v>
      </c>
      <c r="B218" s="6">
        <v>45784</v>
      </c>
      <c r="C218" s="7" t="s">
        <v>275</v>
      </c>
      <c r="D218" s="7" t="s">
        <v>19</v>
      </c>
      <c r="E218" s="7" t="s">
        <v>20</v>
      </c>
      <c r="F218" s="7">
        <v>3</v>
      </c>
      <c r="G218" s="8">
        <v>4825</v>
      </c>
      <c r="H218" s="7" t="s">
        <v>58</v>
      </c>
      <c r="I218" s="7" t="s">
        <v>25</v>
      </c>
      <c r="J218" s="7" t="s">
        <v>276</v>
      </c>
      <c r="K218" s="9">
        <v>14475</v>
      </c>
      <c r="L218" s="7" t="str">
        <f>TEXT(Table1[[#This Row],[Date]],"MMM"&amp;" yyy")</f>
        <v>May 2025</v>
      </c>
    </row>
    <row r="219" spans="1:12" x14ac:dyDescent="0.3">
      <c r="A219" s="5">
        <v>2215</v>
      </c>
      <c r="B219" s="6">
        <v>45784</v>
      </c>
      <c r="C219" s="7" t="s">
        <v>592</v>
      </c>
      <c r="D219" s="7" t="s">
        <v>28</v>
      </c>
      <c r="E219" s="7" t="s">
        <v>24</v>
      </c>
      <c r="F219" s="7">
        <v>3</v>
      </c>
      <c r="G219" s="8">
        <v>4930.79</v>
      </c>
      <c r="H219" s="7" t="s">
        <v>58</v>
      </c>
      <c r="I219" s="7" t="s">
        <v>16</v>
      </c>
      <c r="J219" s="7" t="s">
        <v>593</v>
      </c>
      <c r="K219" s="9">
        <v>14792.369999999999</v>
      </c>
      <c r="L219" s="7" t="str">
        <f>TEXT(Table1[[#This Row],[Date]],"MMM"&amp;" yyy")</f>
        <v>May 2025</v>
      </c>
    </row>
    <row r="220" spans="1:12" x14ac:dyDescent="0.3">
      <c r="A220" s="5">
        <v>5803</v>
      </c>
      <c r="B220" s="6">
        <v>45784</v>
      </c>
      <c r="C220" s="7" t="s">
        <v>364</v>
      </c>
      <c r="D220" s="7" t="s">
        <v>19</v>
      </c>
      <c r="E220" s="7" t="s">
        <v>14</v>
      </c>
      <c r="F220" s="7">
        <v>5</v>
      </c>
      <c r="G220" s="8">
        <v>3413.11</v>
      </c>
      <c r="H220" s="7" t="s">
        <v>15</v>
      </c>
      <c r="I220" s="7" t="s">
        <v>29</v>
      </c>
      <c r="J220" s="7" t="s">
        <v>365</v>
      </c>
      <c r="K220" s="9">
        <v>17065.55</v>
      </c>
      <c r="L220" s="7" t="str">
        <f>TEXT(Table1[[#This Row],[Date]],"MMM"&amp;" yyy")</f>
        <v>May 2025</v>
      </c>
    </row>
    <row r="221" spans="1:12" x14ac:dyDescent="0.3">
      <c r="A221" s="5">
        <v>5122</v>
      </c>
      <c r="B221" s="6">
        <v>45785</v>
      </c>
      <c r="C221" s="7" t="s">
        <v>119</v>
      </c>
      <c r="D221" s="7" t="s">
        <v>55</v>
      </c>
      <c r="E221" s="7" t="s">
        <v>20</v>
      </c>
      <c r="F221" s="7">
        <v>3</v>
      </c>
      <c r="G221" s="8">
        <v>2901.74</v>
      </c>
      <c r="H221" s="7" t="s">
        <v>37</v>
      </c>
      <c r="I221" s="7" t="s">
        <v>29</v>
      </c>
      <c r="J221" s="7" t="s">
        <v>120</v>
      </c>
      <c r="K221" s="9">
        <v>8705.2199999999993</v>
      </c>
      <c r="L221" s="7" t="str">
        <f>TEXT(Table1[[#This Row],[Date]],"MMM"&amp;" yyy")</f>
        <v>May 2025</v>
      </c>
    </row>
    <row r="222" spans="1:12" x14ac:dyDescent="0.3">
      <c r="A222" s="5">
        <v>1095</v>
      </c>
      <c r="B222" s="6">
        <v>45787</v>
      </c>
      <c r="C222" s="7" t="s">
        <v>52</v>
      </c>
      <c r="D222" s="7" t="s">
        <v>42</v>
      </c>
      <c r="E222" s="7" t="s">
        <v>14</v>
      </c>
      <c r="F222" s="7">
        <v>1</v>
      </c>
      <c r="G222" s="8">
        <v>4877.33</v>
      </c>
      <c r="H222" s="7" t="s">
        <v>37</v>
      </c>
      <c r="I222" s="7" t="s">
        <v>29</v>
      </c>
      <c r="J222" s="7" t="s">
        <v>53</v>
      </c>
      <c r="K222" s="9">
        <v>4877.33</v>
      </c>
      <c r="L222" s="7" t="str">
        <f>TEXT(Table1[[#This Row],[Date]],"MMM"&amp;" yyy")</f>
        <v>May 2025</v>
      </c>
    </row>
    <row r="223" spans="1:12" x14ac:dyDescent="0.3">
      <c r="A223" s="5">
        <v>5016</v>
      </c>
      <c r="B223" s="6">
        <v>45787</v>
      </c>
      <c r="C223" s="7" t="s">
        <v>133</v>
      </c>
      <c r="D223" s="7" t="s">
        <v>23</v>
      </c>
      <c r="E223" s="7" t="s">
        <v>20</v>
      </c>
      <c r="F223" s="7">
        <v>3</v>
      </c>
      <c r="G223" s="8">
        <v>2654.25</v>
      </c>
      <c r="H223" s="7" t="s">
        <v>15</v>
      </c>
      <c r="I223" s="7" t="s">
        <v>16</v>
      </c>
      <c r="J223" s="7" t="s">
        <v>134</v>
      </c>
      <c r="K223" s="9">
        <v>7962.75</v>
      </c>
      <c r="L223" s="7" t="str">
        <f>TEXT(Table1[[#This Row],[Date]],"MMM"&amp;" yyy")</f>
        <v>May 2025</v>
      </c>
    </row>
    <row r="224" spans="1:12" x14ac:dyDescent="0.3">
      <c r="A224" s="5">
        <v>7439</v>
      </c>
      <c r="B224" s="6">
        <v>45787</v>
      </c>
      <c r="C224" s="7" t="s">
        <v>75</v>
      </c>
      <c r="D224" s="7" t="s">
        <v>45</v>
      </c>
      <c r="E224" s="7" t="s">
        <v>14</v>
      </c>
      <c r="F224" s="7">
        <v>5</v>
      </c>
      <c r="G224" s="8">
        <v>2734.11</v>
      </c>
      <c r="H224" s="7" t="s">
        <v>58</v>
      </c>
      <c r="I224" s="7" t="s">
        <v>16</v>
      </c>
      <c r="J224" s="7" t="s">
        <v>76</v>
      </c>
      <c r="K224" s="9">
        <v>13670.550000000001</v>
      </c>
      <c r="L224" s="7" t="str">
        <f>TEXT(Table1[[#This Row],[Date]],"MMM"&amp;" yyy")</f>
        <v>May 2025</v>
      </c>
    </row>
    <row r="225" spans="1:12" x14ac:dyDescent="0.3">
      <c r="A225" s="5">
        <v>7801</v>
      </c>
      <c r="B225" s="6">
        <v>45787</v>
      </c>
      <c r="C225" s="7" t="s">
        <v>253</v>
      </c>
      <c r="D225" s="7" t="s">
        <v>55</v>
      </c>
      <c r="E225" s="7" t="s">
        <v>14</v>
      </c>
      <c r="F225" s="7">
        <v>1</v>
      </c>
      <c r="G225" s="8">
        <v>4229.59</v>
      </c>
      <c r="H225" s="7" t="s">
        <v>37</v>
      </c>
      <c r="I225" s="7" t="s">
        <v>25</v>
      </c>
      <c r="J225" s="7" t="s">
        <v>254</v>
      </c>
      <c r="K225" s="9">
        <v>4229.59</v>
      </c>
      <c r="L225" s="7" t="str">
        <f>TEXT(Table1[[#This Row],[Date]],"MMM"&amp;" yyy")</f>
        <v>May 2025</v>
      </c>
    </row>
    <row r="226" spans="1:12" x14ac:dyDescent="0.3">
      <c r="A226" s="5">
        <v>8140</v>
      </c>
      <c r="B226" s="6">
        <v>45787</v>
      </c>
      <c r="C226" s="7" t="s">
        <v>161</v>
      </c>
      <c r="D226" s="7" t="s">
        <v>28</v>
      </c>
      <c r="E226" s="7" t="s">
        <v>14</v>
      </c>
      <c r="F226" s="7">
        <v>2</v>
      </c>
      <c r="G226" s="8">
        <v>1268.48</v>
      </c>
      <c r="H226" s="7" t="s">
        <v>37</v>
      </c>
      <c r="I226" s="7" t="s">
        <v>29</v>
      </c>
      <c r="J226" s="7" t="s">
        <v>162</v>
      </c>
      <c r="K226" s="9">
        <v>2536.96</v>
      </c>
      <c r="L226" s="7" t="str">
        <f>TEXT(Table1[[#This Row],[Date]],"MMM"&amp;" yyy")</f>
        <v>May 2025</v>
      </c>
    </row>
    <row r="227" spans="1:12" x14ac:dyDescent="0.3">
      <c r="A227" s="5">
        <v>8793</v>
      </c>
      <c r="B227" s="6">
        <v>45787</v>
      </c>
      <c r="C227" s="7" t="s">
        <v>436</v>
      </c>
      <c r="D227" s="7" t="s">
        <v>45</v>
      </c>
      <c r="E227" s="7" t="s">
        <v>20</v>
      </c>
      <c r="F227" s="7">
        <v>4</v>
      </c>
      <c r="G227" s="8">
        <v>1015.73</v>
      </c>
      <c r="H227" s="7" t="s">
        <v>37</v>
      </c>
      <c r="I227" s="7" t="s">
        <v>16</v>
      </c>
      <c r="J227" s="7" t="s">
        <v>437</v>
      </c>
      <c r="K227" s="9">
        <v>4062.92</v>
      </c>
      <c r="L227" s="7" t="str">
        <f>TEXT(Table1[[#This Row],[Date]],"MMM"&amp;" yyy")</f>
        <v>May 2025</v>
      </c>
    </row>
    <row r="228" spans="1:12" x14ac:dyDescent="0.3">
      <c r="A228" s="5">
        <v>7371</v>
      </c>
      <c r="B228" s="6">
        <v>45788</v>
      </c>
      <c r="C228" s="7" t="s">
        <v>109</v>
      </c>
      <c r="D228" s="7" t="s">
        <v>23</v>
      </c>
      <c r="E228" s="7" t="s">
        <v>20</v>
      </c>
      <c r="F228" s="7">
        <v>2</v>
      </c>
      <c r="G228" s="8">
        <v>713.46</v>
      </c>
      <c r="H228" s="7" t="s">
        <v>37</v>
      </c>
      <c r="I228" s="7" t="s">
        <v>16</v>
      </c>
      <c r="J228" s="7" t="s">
        <v>110</v>
      </c>
      <c r="K228" s="9">
        <v>1426.92</v>
      </c>
      <c r="L228" s="7" t="str">
        <f>TEXT(Table1[[#This Row],[Date]],"MMM"&amp;" yyy")</f>
        <v>May 2025</v>
      </c>
    </row>
    <row r="229" spans="1:12" x14ac:dyDescent="0.3">
      <c r="A229" s="5">
        <v>8510</v>
      </c>
      <c r="B229" s="6">
        <v>45788</v>
      </c>
      <c r="C229" s="7" t="s">
        <v>594</v>
      </c>
      <c r="D229" s="7" t="s">
        <v>23</v>
      </c>
      <c r="E229" s="7" t="s">
        <v>14</v>
      </c>
      <c r="F229" s="7">
        <v>3</v>
      </c>
      <c r="G229" s="8">
        <v>1428.53</v>
      </c>
      <c r="H229" s="7" t="s">
        <v>58</v>
      </c>
      <c r="I229" s="7" t="s">
        <v>16</v>
      </c>
      <c r="J229" s="7" t="s">
        <v>595</v>
      </c>
      <c r="K229" s="9">
        <v>4285.59</v>
      </c>
      <c r="L229" s="7" t="str">
        <f>TEXT(Table1[[#This Row],[Date]],"MMM"&amp;" yyy")</f>
        <v>May 2025</v>
      </c>
    </row>
    <row r="230" spans="1:12" x14ac:dyDescent="0.3">
      <c r="A230" s="5">
        <v>2042</v>
      </c>
      <c r="B230" s="6">
        <v>45789</v>
      </c>
      <c r="C230" s="7" t="s">
        <v>455</v>
      </c>
      <c r="D230" s="7" t="s">
        <v>23</v>
      </c>
      <c r="E230" s="7" t="s">
        <v>20</v>
      </c>
      <c r="F230" s="7">
        <v>2</v>
      </c>
      <c r="G230" s="8">
        <v>540.28</v>
      </c>
      <c r="H230" s="7" t="s">
        <v>15</v>
      </c>
      <c r="I230" s="7" t="s">
        <v>25</v>
      </c>
      <c r="J230" s="7" t="s">
        <v>456</v>
      </c>
      <c r="K230" s="9">
        <v>1080.56</v>
      </c>
      <c r="L230" s="7" t="str">
        <f>TEXT(Table1[[#This Row],[Date]],"MMM"&amp;" yyy")</f>
        <v>May 2025</v>
      </c>
    </row>
    <row r="231" spans="1:12" x14ac:dyDescent="0.3">
      <c r="A231" s="5">
        <v>4727</v>
      </c>
      <c r="B231" s="6">
        <v>45789</v>
      </c>
      <c r="C231" s="7" t="s">
        <v>328</v>
      </c>
      <c r="D231" s="7" t="s">
        <v>13</v>
      </c>
      <c r="E231" s="7" t="s">
        <v>20</v>
      </c>
      <c r="F231" s="7">
        <v>2</v>
      </c>
      <c r="G231" s="8">
        <v>465.45</v>
      </c>
      <c r="H231" s="7" t="s">
        <v>37</v>
      </c>
      <c r="I231" s="7" t="s">
        <v>16</v>
      </c>
      <c r="J231" s="7" t="s">
        <v>329</v>
      </c>
      <c r="K231" s="9">
        <v>930.9</v>
      </c>
      <c r="L231" s="7" t="str">
        <f>TEXT(Table1[[#This Row],[Date]],"MMM"&amp;" yyy")</f>
        <v>May 2025</v>
      </c>
    </row>
    <row r="232" spans="1:12" x14ac:dyDescent="0.3">
      <c r="A232" s="5">
        <v>1643</v>
      </c>
      <c r="B232" s="6">
        <v>45790</v>
      </c>
      <c r="C232" s="7" t="s">
        <v>259</v>
      </c>
      <c r="D232" s="7" t="s">
        <v>32</v>
      </c>
      <c r="E232" s="7" t="s">
        <v>20</v>
      </c>
      <c r="F232" s="7">
        <v>4</v>
      </c>
      <c r="G232" s="8">
        <v>4478.83</v>
      </c>
      <c r="H232" s="7" t="s">
        <v>15</v>
      </c>
      <c r="I232" s="7" t="s">
        <v>16</v>
      </c>
      <c r="J232" s="7" t="s">
        <v>260</v>
      </c>
      <c r="K232" s="9">
        <v>17915.32</v>
      </c>
      <c r="L232" s="7" t="str">
        <f>TEXT(Table1[[#This Row],[Date]],"MMM"&amp;" yyy")</f>
        <v>May 2025</v>
      </c>
    </row>
    <row r="233" spans="1:12" x14ac:dyDescent="0.3">
      <c r="A233" s="5">
        <v>3714</v>
      </c>
      <c r="B233" s="6">
        <v>45790</v>
      </c>
      <c r="C233" s="7" t="s">
        <v>330</v>
      </c>
      <c r="D233" s="7" t="s">
        <v>23</v>
      </c>
      <c r="E233" s="7" t="s">
        <v>14</v>
      </c>
      <c r="F233" s="7">
        <v>1</v>
      </c>
      <c r="G233" s="8">
        <v>268.60000000000002</v>
      </c>
      <c r="H233" s="7" t="s">
        <v>37</v>
      </c>
      <c r="I233" s="7" t="s">
        <v>29</v>
      </c>
      <c r="J233" s="7" t="s">
        <v>331</v>
      </c>
      <c r="K233" s="9">
        <v>268.60000000000002</v>
      </c>
      <c r="L233" s="7" t="str">
        <f>TEXT(Table1[[#This Row],[Date]],"MMM"&amp;" yyy")</f>
        <v>May 2025</v>
      </c>
    </row>
    <row r="234" spans="1:12" x14ac:dyDescent="0.3">
      <c r="A234" s="5">
        <v>4539</v>
      </c>
      <c r="B234" s="6">
        <v>45790</v>
      </c>
      <c r="C234" s="7" t="s">
        <v>183</v>
      </c>
      <c r="D234" s="7" t="s">
        <v>55</v>
      </c>
      <c r="E234" s="7" t="s">
        <v>24</v>
      </c>
      <c r="F234" s="7">
        <v>1</v>
      </c>
      <c r="G234" s="8">
        <v>691.87</v>
      </c>
      <c r="H234" s="7" t="s">
        <v>37</v>
      </c>
      <c r="I234" s="7" t="s">
        <v>16</v>
      </c>
      <c r="J234" s="7" t="s">
        <v>184</v>
      </c>
      <c r="K234" s="9">
        <v>691.87</v>
      </c>
      <c r="L234" s="7" t="str">
        <f>TEXT(Table1[[#This Row],[Date]],"MMM"&amp;" yyy")</f>
        <v>May 2025</v>
      </c>
    </row>
    <row r="235" spans="1:12" x14ac:dyDescent="0.3">
      <c r="A235" s="5">
        <v>6497</v>
      </c>
      <c r="B235" s="6">
        <v>45790</v>
      </c>
      <c r="C235" s="7" t="s">
        <v>408</v>
      </c>
      <c r="D235" s="7" t="s">
        <v>23</v>
      </c>
      <c r="E235" s="7" t="s">
        <v>24</v>
      </c>
      <c r="F235" s="7">
        <v>3</v>
      </c>
      <c r="G235" s="8">
        <v>4885.33</v>
      </c>
      <c r="H235" s="7" t="s">
        <v>37</v>
      </c>
      <c r="I235" s="7" t="s">
        <v>16</v>
      </c>
      <c r="J235" s="7" t="s">
        <v>409</v>
      </c>
      <c r="K235" s="9">
        <v>14655.99</v>
      </c>
      <c r="L235" s="7" t="str">
        <f>TEXT(Table1[[#This Row],[Date]],"MMM"&amp;" yyy")</f>
        <v>May 2025</v>
      </c>
    </row>
    <row r="236" spans="1:12" x14ac:dyDescent="0.3">
      <c r="A236" s="5">
        <v>7032</v>
      </c>
      <c r="B236" s="6">
        <v>45790</v>
      </c>
      <c r="C236" s="7" t="s">
        <v>153</v>
      </c>
      <c r="D236" s="7" t="s">
        <v>65</v>
      </c>
      <c r="E236" s="7" t="s">
        <v>20</v>
      </c>
      <c r="F236" s="7">
        <v>3</v>
      </c>
      <c r="G236" s="8">
        <v>4536.37</v>
      </c>
      <c r="H236" s="7" t="s">
        <v>15</v>
      </c>
      <c r="I236" s="7" t="s">
        <v>29</v>
      </c>
      <c r="J236" s="7" t="s">
        <v>154</v>
      </c>
      <c r="K236" s="9">
        <v>13609.11</v>
      </c>
      <c r="L236" s="7" t="str">
        <f>TEXT(Table1[[#This Row],[Date]],"MMM"&amp;" yyy")</f>
        <v>May 2025</v>
      </c>
    </row>
    <row r="237" spans="1:12" x14ac:dyDescent="0.3">
      <c r="A237" s="5">
        <v>6658</v>
      </c>
      <c r="B237" s="6">
        <v>45791</v>
      </c>
      <c r="C237" s="7" t="s">
        <v>574</v>
      </c>
      <c r="D237" s="7" t="s">
        <v>19</v>
      </c>
      <c r="E237" s="7" t="s">
        <v>24</v>
      </c>
      <c r="F237" s="7">
        <v>1</v>
      </c>
      <c r="G237" s="8">
        <v>921.54</v>
      </c>
      <c r="H237" s="7" t="s">
        <v>15</v>
      </c>
      <c r="I237" s="7" t="s">
        <v>29</v>
      </c>
      <c r="J237" s="7" t="s">
        <v>575</v>
      </c>
      <c r="K237" s="9">
        <v>921.54</v>
      </c>
      <c r="L237" s="7" t="str">
        <f>TEXT(Table1[[#This Row],[Date]],"MMM"&amp;" yyy")</f>
        <v>May 2025</v>
      </c>
    </row>
    <row r="238" spans="1:12" x14ac:dyDescent="0.3">
      <c r="A238" s="5">
        <v>7877</v>
      </c>
      <c r="B238" s="6">
        <v>45792</v>
      </c>
      <c r="C238" s="7" t="s">
        <v>412</v>
      </c>
      <c r="D238" s="7" t="s">
        <v>28</v>
      </c>
      <c r="E238" s="7" t="s">
        <v>24</v>
      </c>
      <c r="F238" s="7">
        <v>2</v>
      </c>
      <c r="G238" s="8">
        <v>3051.99</v>
      </c>
      <c r="H238" s="7" t="s">
        <v>58</v>
      </c>
      <c r="I238" s="7" t="s">
        <v>29</v>
      </c>
      <c r="J238" s="7" t="s">
        <v>413</v>
      </c>
      <c r="K238" s="9">
        <v>6103.98</v>
      </c>
      <c r="L238" s="7" t="str">
        <f>TEXT(Table1[[#This Row],[Date]],"MMM"&amp;" yyy")</f>
        <v>May 2025</v>
      </c>
    </row>
    <row r="239" spans="1:12" x14ac:dyDescent="0.3">
      <c r="A239" s="5">
        <v>6587</v>
      </c>
      <c r="B239" s="6">
        <v>45793</v>
      </c>
      <c r="C239" s="7" t="s">
        <v>69</v>
      </c>
      <c r="D239" s="7" t="s">
        <v>19</v>
      </c>
      <c r="E239" s="7" t="s">
        <v>20</v>
      </c>
      <c r="F239" s="7">
        <v>1</v>
      </c>
      <c r="G239" s="8">
        <v>2346.59</v>
      </c>
      <c r="H239" s="7" t="s">
        <v>58</v>
      </c>
      <c r="I239" s="7" t="s">
        <v>29</v>
      </c>
      <c r="J239" s="7" t="s">
        <v>70</v>
      </c>
      <c r="K239" s="9">
        <v>2346.59</v>
      </c>
      <c r="L239" s="7" t="str">
        <f>TEXT(Table1[[#This Row],[Date]],"MMM"&amp;" yyy")</f>
        <v>May 2025</v>
      </c>
    </row>
    <row r="240" spans="1:12" x14ac:dyDescent="0.3">
      <c r="A240" s="5">
        <v>2964</v>
      </c>
      <c r="B240" s="6">
        <v>45794</v>
      </c>
      <c r="C240" s="7" t="s">
        <v>81</v>
      </c>
      <c r="D240" s="7" t="s">
        <v>55</v>
      </c>
      <c r="E240" s="7" t="s">
        <v>14</v>
      </c>
      <c r="F240" s="7">
        <v>3</v>
      </c>
      <c r="G240" s="8">
        <v>1085.06</v>
      </c>
      <c r="H240" s="7" t="s">
        <v>15</v>
      </c>
      <c r="I240" s="7" t="s">
        <v>16</v>
      </c>
      <c r="J240" s="7" t="s">
        <v>82</v>
      </c>
      <c r="K240" s="9">
        <v>3255.18</v>
      </c>
      <c r="L240" s="7" t="str">
        <f>TEXT(Table1[[#This Row],[Date]],"MMM"&amp;" yyy")</f>
        <v>May 2025</v>
      </c>
    </row>
    <row r="241" spans="1:12" x14ac:dyDescent="0.3">
      <c r="A241" s="5">
        <v>7787</v>
      </c>
      <c r="B241" s="6">
        <v>45795</v>
      </c>
      <c r="C241" s="7" t="s">
        <v>167</v>
      </c>
      <c r="D241" s="7" t="s">
        <v>13</v>
      </c>
      <c r="E241" s="7" t="s">
        <v>14</v>
      </c>
      <c r="F241" s="7">
        <v>5</v>
      </c>
      <c r="G241" s="8">
        <v>3072.71</v>
      </c>
      <c r="H241" s="7" t="s">
        <v>15</v>
      </c>
      <c r="I241" s="7" t="s">
        <v>29</v>
      </c>
      <c r="J241" s="7" t="s">
        <v>168</v>
      </c>
      <c r="K241" s="9">
        <v>15363.55</v>
      </c>
      <c r="L241" s="7" t="str">
        <f>TEXT(Table1[[#This Row],[Date]],"MMM"&amp;" yyy")</f>
        <v>May 2025</v>
      </c>
    </row>
    <row r="242" spans="1:12" x14ac:dyDescent="0.3">
      <c r="A242" s="5">
        <v>6093</v>
      </c>
      <c r="B242" s="6">
        <v>45796</v>
      </c>
      <c r="C242" s="7" t="s">
        <v>309</v>
      </c>
      <c r="D242" s="7" t="s">
        <v>45</v>
      </c>
      <c r="E242" s="7" t="s">
        <v>24</v>
      </c>
      <c r="F242" s="7">
        <v>3</v>
      </c>
      <c r="G242" s="8">
        <v>4612.42</v>
      </c>
      <c r="H242" s="7" t="s">
        <v>15</v>
      </c>
      <c r="I242" s="7" t="s">
        <v>16</v>
      </c>
      <c r="J242" s="7" t="s">
        <v>128</v>
      </c>
      <c r="K242" s="9">
        <v>13837.26</v>
      </c>
      <c r="L242" s="7" t="str">
        <f>TEXT(Table1[[#This Row],[Date]],"MMM"&amp;" yyy")</f>
        <v>May 2025</v>
      </c>
    </row>
    <row r="243" spans="1:12" x14ac:dyDescent="0.3">
      <c r="A243" s="5">
        <v>7705</v>
      </c>
      <c r="B243" s="6">
        <v>45796</v>
      </c>
      <c r="C243" s="7" t="s">
        <v>257</v>
      </c>
      <c r="D243" s="7" t="s">
        <v>48</v>
      </c>
      <c r="E243" s="7" t="s">
        <v>24</v>
      </c>
      <c r="F243" s="7">
        <v>5</v>
      </c>
      <c r="G243" s="8">
        <v>4945.83</v>
      </c>
      <c r="H243" s="7" t="s">
        <v>37</v>
      </c>
      <c r="I243" s="7" t="s">
        <v>16</v>
      </c>
      <c r="J243" s="7" t="s">
        <v>258</v>
      </c>
      <c r="K243" s="9">
        <v>24729.15</v>
      </c>
      <c r="L243" s="7" t="str">
        <f>TEXT(Table1[[#This Row],[Date]],"MMM"&amp;" yyy")</f>
        <v>May 2025</v>
      </c>
    </row>
    <row r="244" spans="1:12" x14ac:dyDescent="0.3">
      <c r="A244" s="5">
        <v>7786</v>
      </c>
      <c r="B244" s="6">
        <v>45796</v>
      </c>
      <c r="C244" s="7" t="s">
        <v>481</v>
      </c>
      <c r="D244" s="7" t="s">
        <v>55</v>
      </c>
      <c r="E244" s="7" t="s">
        <v>24</v>
      </c>
      <c r="F244" s="7">
        <v>4</v>
      </c>
      <c r="G244" s="8">
        <v>2494.21</v>
      </c>
      <c r="H244" s="7" t="s">
        <v>37</v>
      </c>
      <c r="I244" s="7" t="s">
        <v>29</v>
      </c>
      <c r="J244" s="7" t="s">
        <v>482</v>
      </c>
      <c r="K244" s="9">
        <v>9976.84</v>
      </c>
      <c r="L244" s="7" t="str">
        <f>TEXT(Table1[[#This Row],[Date]],"MMM"&amp;" yyy")</f>
        <v>May 2025</v>
      </c>
    </row>
    <row r="245" spans="1:12" x14ac:dyDescent="0.3">
      <c r="A245" s="5">
        <v>8015</v>
      </c>
      <c r="B245" s="6">
        <v>45796</v>
      </c>
      <c r="C245" s="7" t="s">
        <v>101</v>
      </c>
      <c r="D245" s="7" t="s">
        <v>65</v>
      </c>
      <c r="E245" s="7" t="s">
        <v>24</v>
      </c>
      <c r="F245" s="7">
        <v>4</v>
      </c>
      <c r="G245" s="8">
        <v>1861.51</v>
      </c>
      <c r="H245" s="7" t="s">
        <v>58</v>
      </c>
      <c r="I245" s="7" t="s">
        <v>25</v>
      </c>
      <c r="J245" s="7" t="s">
        <v>102</v>
      </c>
      <c r="K245" s="9">
        <v>7446.04</v>
      </c>
      <c r="L245" s="7" t="str">
        <f>TEXT(Table1[[#This Row],[Date]],"MMM"&amp;" yyy")</f>
        <v>May 2025</v>
      </c>
    </row>
    <row r="246" spans="1:12" x14ac:dyDescent="0.3">
      <c r="A246" s="5">
        <v>1939</v>
      </c>
      <c r="B246" s="6">
        <v>45797</v>
      </c>
      <c r="C246" s="7" t="s">
        <v>394</v>
      </c>
      <c r="D246" s="7" t="s">
        <v>32</v>
      </c>
      <c r="E246" s="7" t="s">
        <v>14</v>
      </c>
      <c r="F246" s="7">
        <v>1</v>
      </c>
      <c r="G246" s="8">
        <v>1125.43</v>
      </c>
      <c r="H246" s="7" t="s">
        <v>37</v>
      </c>
      <c r="I246" s="7" t="s">
        <v>29</v>
      </c>
      <c r="J246" s="7" t="s">
        <v>395</v>
      </c>
      <c r="K246" s="9">
        <v>1125.43</v>
      </c>
      <c r="L246" s="7" t="str">
        <f>TEXT(Table1[[#This Row],[Date]],"MMM"&amp;" yyy")</f>
        <v>May 2025</v>
      </c>
    </row>
    <row r="247" spans="1:12" x14ac:dyDescent="0.3">
      <c r="A247" s="5">
        <v>7685</v>
      </c>
      <c r="B247" s="6">
        <v>45797</v>
      </c>
      <c r="C247" s="7" t="s">
        <v>12</v>
      </c>
      <c r="D247" s="7" t="s">
        <v>13</v>
      </c>
      <c r="E247" s="7" t="s">
        <v>14</v>
      </c>
      <c r="F247" s="7">
        <v>1</v>
      </c>
      <c r="G247" s="8">
        <v>2057.39</v>
      </c>
      <c r="H247" s="7" t="s">
        <v>15</v>
      </c>
      <c r="I247" s="7" t="s">
        <v>16</v>
      </c>
      <c r="J247" s="7" t="s">
        <v>17</v>
      </c>
      <c r="K247" s="9">
        <v>2057.39</v>
      </c>
      <c r="L247" s="7" t="str">
        <f>TEXT(Table1[[#This Row],[Date]],"MMM"&amp;" yyy")</f>
        <v>May 2025</v>
      </c>
    </row>
    <row r="248" spans="1:12" x14ac:dyDescent="0.3">
      <c r="A248" s="5">
        <v>3014</v>
      </c>
      <c r="B248" s="6">
        <v>45798</v>
      </c>
      <c r="C248" s="7" t="s">
        <v>554</v>
      </c>
      <c r="D248" s="7" t="s">
        <v>13</v>
      </c>
      <c r="E248" s="7" t="s">
        <v>14</v>
      </c>
      <c r="F248" s="7">
        <v>4</v>
      </c>
      <c r="G248" s="8">
        <v>3879.63</v>
      </c>
      <c r="H248" s="7" t="s">
        <v>37</v>
      </c>
      <c r="I248" s="7" t="s">
        <v>25</v>
      </c>
      <c r="J248" s="7" t="s">
        <v>555</v>
      </c>
      <c r="K248" s="9">
        <v>15518.52</v>
      </c>
      <c r="L248" s="7" t="str">
        <f>TEXT(Table1[[#This Row],[Date]],"MMM"&amp;" yyy")</f>
        <v>May 2025</v>
      </c>
    </row>
    <row r="249" spans="1:12" x14ac:dyDescent="0.3">
      <c r="A249" s="5">
        <v>4976</v>
      </c>
      <c r="B249" s="6">
        <v>45798</v>
      </c>
      <c r="C249" s="7" t="s">
        <v>255</v>
      </c>
      <c r="D249" s="7" t="s">
        <v>13</v>
      </c>
      <c r="E249" s="7" t="s">
        <v>20</v>
      </c>
      <c r="F249" s="7">
        <v>1</v>
      </c>
      <c r="G249" s="8">
        <v>2234.2800000000002</v>
      </c>
      <c r="H249" s="7" t="s">
        <v>37</v>
      </c>
      <c r="I249" s="7" t="s">
        <v>29</v>
      </c>
      <c r="J249" s="7" t="s">
        <v>256</v>
      </c>
      <c r="K249" s="9">
        <v>2234.2800000000002</v>
      </c>
      <c r="L249" s="7" t="str">
        <f>TEXT(Table1[[#This Row],[Date]],"MMM"&amp;" yyy")</f>
        <v>May 2025</v>
      </c>
    </row>
    <row r="250" spans="1:12" x14ac:dyDescent="0.3">
      <c r="A250" s="5">
        <v>9722</v>
      </c>
      <c r="B250" s="6">
        <v>45798</v>
      </c>
      <c r="C250" s="7" t="s">
        <v>662</v>
      </c>
      <c r="D250" s="7" t="s">
        <v>48</v>
      </c>
      <c r="E250" s="7" t="s">
        <v>24</v>
      </c>
      <c r="F250" s="7">
        <v>2</v>
      </c>
      <c r="G250" s="8">
        <v>1772.27</v>
      </c>
      <c r="H250" s="7" t="s">
        <v>15</v>
      </c>
      <c r="I250" s="7" t="s">
        <v>25</v>
      </c>
      <c r="J250" s="7" t="s">
        <v>663</v>
      </c>
      <c r="K250" s="9">
        <v>3544.54</v>
      </c>
      <c r="L250" s="7" t="str">
        <f>TEXT(Table1[[#This Row],[Date]],"MMM"&amp;" yyy")</f>
        <v>May 2025</v>
      </c>
    </row>
    <row r="251" spans="1:12" x14ac:dyDescent="0.3">
      <c r="A251" s="5">
        <v>7630</v>
      </c>
      <c r="B251" s="6">
        <v>45800</v>
      </c>
      <c r="C251" s="7" t="s">
        <v>384</v>
      </c>
      <c r="D251" s="7" t="s">
        <v>45</v>
      </c>
      <c r="E251" s="7" t="s">
        <v>24</v>
      </c>
      <c r="F251" s="7">
        <v>5</v>
      </c>
      <c r="G251" s="8">
        <v>1036.8399999999999</v>
      </c>
      <c r="H251" s="7" t="s">
        <v>58</v>
      </c>
      <c r="I251" s="7" t="s">
        <v>25</v>
      </c>
      <c r="J251" s="7" t="s">
        <v>385</v>
      </c>
      <c r="K251" s="9">
        <v>5184.2</v>
      </c>
      <c r="L251" s="7" t="str">
        <f>TEXT(Table1[[#This Row],[Date]],"MMM"&amp;" yyy")</f>
        <v>May 2025</v>
      </c>
    </row>
    <row r="252" spans="1:12" x14ac:dyDescent="0.3">
      <c r="A252" s="5">
        <v>9636</v>
      </c>
      <c r="B252" s="6">
        <v>45801</v>
      </c>
      <c r="C252" s="7" t="s">
        <v>39</v>
      </c>
      <c r="D252" s="7" t="s">
        <v>19</v>
      </c>
      <c r="E252" s="7" t="s">
        <v>14</v>
      </c>
      <c r="F252" s="7">
        <v>2</v>
      </c>
      <c r="G252" s="8">
        <v>2675.71</v>
      </c>
      <c r="H252" s="7" t="s">
        <v>15</v>
      </c>
      <c r="I252" s="7" t="s">
        <v>29</v>
      </c>
      <c r="J252" s="7" t="s">
        <v>40</v>
      </c>
      <c r="K252" s="9">
        <v>5351.42</v>
      </c>
      <c r="L252" s="7" t="str">
        <f>TEXT(Table1[[#This Row],[Date]],"MMM"&amp;" yyy")</f>
        <v>May 2025</v>
      </c>
    </row>
    <row r="253" spans="1:12" x14ac:dyDescent="0.3">
      <c r="A253" s="5">
        <v>4177</v>
      </c>
      <c r="B253" s="6">
        <v>45802</v>
      </c>
      <c r="C253" s="7" t="s">
        <v>139</v>
      </c>
      <c r="D253" s="7" t="s">
        <v>19</v>
      </c>
      <c r="E253" s="7" t="s">
        <v>24</v>
      </c>
      <c r="F253" s="7">
        <v>1</v>
      </c>
      <c r="G253" s="8">
        <v>506.3</v>
      </c>
      <c r="H253" s="7" t="s">
        <v>37</v>
      </c>
      <c r="I253" s="7" t="s">
        <v>29</v>
      </c>
      <c r="J253" s="7" t="s">
        <v>140</v>
      </c>
      <c r="K253" s="9">
        <v>506.3</v>
      </c>
      <c r="L253" s="7" t="str">
        <f>TEXT(Table1[[#This Row],[Date]],"MMM"&amp;" yyy")</f>
        <v>May 2025</v>
      </c>
    </row>
    <row r="254" spans="1:12" x14ac:dyDescent="0.3">
      <c r="A254" s="5">
        <v>2871</v>
      </c>
      <c r="B254" s="6">
        <v>45803</v>
      </c>
      <c r="C254" s="7" t="s">
        <v>173</v>
      </c>
      <c r="D254" s="7" t="s">
        <v>32</v>
      </c>
      <c r="E254" s="7" t="s">
        <v>14</v>
      </c>
      <c r="F254" s="7">
        <v>2</v>
      </c>
      <c r="G254" s="8">
        <v>3324.03</v>
      </c>
      <c r="H254" s="7" t="s">
        <v>15</v>
      </c>
      <c r="I254" s="7" t="s">
        <v>25</v>
      </c>
      <c r="J254" s="7" t="s">
        <v>174</v>
      </c>
      <c r="K254" s="9">
        <v>6648.06</v>
      </c>
      <c r="L254" s="7" t="str">
        <f>TEXT(Table1[[#This Row],[Date]],"MMM"&amp;" yyy")</f>
        <v>May 2025</v>
      </c>
    </row>
    <row r="255" spans="1:12" x14ac:dyDescent="0.3">
      <c r="A255" s="5">
        <v>5901</v>
      </c>
      <c r="B255" s="6">
        <v>45803</v>
      </c>
      <c r="C255" s="7" t="s">
        <v>386</v>
      </c>
      <c r="D255" s="7" t="s">
        <v>42</v>
      </c>
      <c r="E255" s="7" t="s">
        <v>20</v>
      </c>
      <c r="F255" s="7">
        <v>5</v>
      </c>
      <c r="G255" s="8">
        <v>1405.63</v>
      </c>
      <c r="H255" s="7" t="s">
        <v>58</v>
      </c>
      <c r="I255" s="7" t="s">
        <v>29</v>
      </c>
      <c r="J255" s="7" t="s">
        <v>387</v>
      </c>
      <c r="K255" s="9">
        <v>7028.1500000000005</v>
      </c>
      <c r="L255" s="7" t="str">
        <f>TEXT(Table1[[#This Row],[Date]],"MMM"&amp;" yyy")</f>
        <v>May 2025</v>
      </c>
    </row>
    <row r="256" spans="1:12" x14ac:dyDescent="0.3">
      <c r="A256" s="5">
        <v>9112</v>
      </c>
      <c r="B256" s="6">
        <v>45803</v>
      </c>
      <c r="C256" s="7" t="s">
        <v>169</v>
      </c>
      <c r="D256" s="7" t="s">
        <v>23</v>
      </c>
      <c r="E256" s="7" t="s">
        <v>20</v>
      </c>
      <c r="F256" s="7">
        <v>3</v>
      </c>
      <c r="G256" s="8">
        <v>3556.27</v>
      </c>
      <c r="H256" s="7" t="s">
        <v>58</v>
      </c>
      <c r="I256" s="7" t="s">
        <v>29</v>
      </c>
      <c r="J256" s="7" t="s">
        <v>170</v>
      </c>
      <c r="K256" s="9">
        <v>10668.81</v>
      </c>
      <c r="L256" s="7" t="str">
        <f>TEXT(Table1[[#This Row],[Date]],"MMM"&amp;" yyy")</f>
        <v>May 2025</v>
      </c>
    </row>
    <row r="257" spans="1:12" x14ac:dyDescent="0.3">
      <c r="A257" s="5">
        <v>2093</v>
      </c>
      <c r="B257" s="6">
        <v>45804</v>
      </c>
      <c r="C257" s="7" t="s">
        <v>439</v>
      </c>
      <c r="D257" s="7" t="s">
        <v>23</v>
      </c>
      <c r="E257" s="7" t="s">
        <v>14</v>
      </c>
      <c r="F257" s="7">
        <v>2</v>
      </c>
      <c r="G257" s="8">
        <v>2647.9</v>
      </c>
      <c r="H257" s="7" t="s">
        <v>58</v>
      </c>
      <c r="I257" s="7" t="s">
        <v>16</v>
      </c>
      <c r="J257" s="7" t="s">
        <v>440</v>
      </c>
      <c r="K257" s="9">
        <v>5295.8</v>
      </c>
      <c r="L257" s="7" t="str">
        <f>TEXT(Table1[[#This Row],[Date]],"MMM"&amp;" yyy")</f>
        <v>May 2025</v>
      </c>
    </row>
    <row r="258" spans="1:12" x14ac:dyDescent="0.3">
      <c r="A258" s="5">
        <v>3689</v>
      </c>
      <c r="B258" s="6">
        <v>45806</v>
      </c>
      <c r="C258" s="7" t="s">
        <v>207</v>
      </c>
      <c r="D258" s="7" t="s">
        <v>28</v>
      </c>
      <c r="E258" s="7" t="s">
        <v>14</v>
      </c>
      <c r="F258" s="7">
        <v>1</v>
      </c>
      <c r="G258" s="8">
        <v>685.71</v>
      </c>
      <c r="H258" s="7" t="s">
        <v>58</v>
      </c>
      <c r="I258" s="7" t="s">
        <v>16</v>
      </c>
      <c r="J258" s="7" t="s">
        <v>208</v>
      </c>
      <c r="K258" s="9">
        <v>685.71</v>
      </c>
      <c r="L258" s="7" t="str">
        <f>TEXT(Table1[[#This Row],[Date]],"MMM"&amp;" yyy")</f>
        <v>May 2025</v>
      </c>
    </row>
    <row r="259" spans="1:12" x14ac:dyDescent="0.3">
      <c r="A259" s="5">
        <v>6309</v>
      </c>
      <c r="B259" s="6">
        <v>45809</v>
      </c>
      <c r="C259" s="7" t="s">
        <v>527</v>
      </c>
      <c r="D259" s="7" t="s">
        <v>32</v>
      </c>
      <c r="E259" s="7" t="s">
        <v>14</v>
      </c>
      <c r="F259" s="7">
        <v>4</v>
      </c>
      <c r="G259" s="8">
        <v>600.39</v>
      </c>
      <c r="H259" s="7" t="s">
        <v>37</v>
      </c>
      <c r="I259" s="7" t="s">
        <v>29</v>
      </c>
      <c r="J259" s="7" t="s">
        <v>528</v>
      </c>
      <c r="K259" s="9">
        <v>2401.56</v>
      </c>
      <c r="L259" s="7" t="str">
        <f>TEXT(Table1[[#This Row],[Date]],"MMM"&amp;" yyy")</f>
        <v>Jun 2025</v>
      </c>
    </row>
    <row r="260" spans="1:12" x14ac:dyDescent="0.3">
      <c r="A260" s="5">
        <v>8377</v>
      </c>
      <c r="B260" s="6">
        <v>45809</v>
      </c>
      <c r="C260" s="7" t="s">
        <v>95</v>
      </c>
      <c r="D260" s="7" t="s">
        <v>48</v>
      </c>
      <c r="E260" s="7" t="s">
        <v>14</v>
      </c>
      <c r="F260" s="7">
        <v>3</v>
      </c>
      <c r="G260" s="8">
        <v>4768.21</v>
      </c>
      <c r="H260" s="7" t="s">
        <v>37</v>
      </c>
      <c r="I260" s="7" t="s">
        <v>29</v>
      </c>
      <c r="J260" s="7" t="s">
        <v>96</v>
      </c>
      <c r="K260" s="9">
        <v>14304.630000000001</v>
      </c>
      <c r="L260" s="7" t="str">
        <f>TEXT(Table1[[#This Row],[Date]],"MMM"&amp;" yyy")</f>
        <v>Jun 2025</v>
      </c>
    </row>
    <row r="261" spans="1:12" x14ac:dyDescent="0.3">
      <c r="A261" s="5">
        <v>7401</v>
      </c>
      <c r="B261" s="6">
        <v>45810</v>
      </c>
      <c r="C261" s="7" t="s">
        <v>251</v>
      </c>
      <c r="D261" s="7" t="s">
        <v>23</v>
      </c>
      <c r="E261" s="7" t="s">
        <v>24</v>
      </c>
      <c r="F261" s="7">
        <v>4</v>
      </c>
      <c r="G261" s="8">
        <v>4016.06</v>
      </c>
      <c r="H261" s="7" t="s">
        <v>37</v>
      </c>
      <c r="I261" s="7" t="s">
        <v>16</v>
      </c>
      <c r="J261" s="7" t="s">
        <v>252</v>
      </c>
      <c r="K261" s="9">
        <v>16064.24</v>
      </c>
      <c r="L261" s="7" t="str">
        <f>TEXT(Table1[[#This Row],[Date]],"MMM"&amp;" yyy")</f>
        <v>Jun 2025</v>
      </c>
    </row>
    <row r="262" spans="1:12" x14ac:dyDescent="0.3">
      <c r="A262" s="5">
        <v>7413</v>
      </c>
      <c r="B262" s="6">
        <v>45810</v>
      </c>
      <c r="C262" s="7" t="s">
        <v>376</v>
      </c>
      <c r="D262" s="7" t="s">
        <v>65</v>
      </c>
      <c r="E262" s="7" t="s">
        <v>24</v>
      </c>
      <c r="F262" s="7">
        <v>2</v>
      </c>
      <c r="G262" s="8">
        <v>913.87</v>
      </c>
      <c r="H262" s="7" t="s">
        <v>37</v>
      </c>
      <c r="I262" s="7" t="s">
        <v>29</v>
      </c>
      <c r="J262" s="7" t="s">
        <v>377</v>
      </c>
      <c r="K262" s="9">
        <v>1827.74</v>
      </c>
      <c r="L262" s="7" t="str">
        <f>TEXT(Table1[[#This Row],[Date]],"MMM"&amp;" yyy")</f>
        <v>Jun 2025</v>
      </c>
    </row>
    <row r="263" spans="1:12" x14ac:dyDescent="0.3">
      <c r="A263" s="5">
        <v>8521</v>
      </c>
      <c r="B263" s="6">
        <v>45811</v>
      </c>
      <c r="C263" s="7" t="s">
        <v>614</v>
      </c>
      <c r="D263" s="7" t="s">
        <v>19</v>
      </c>
      <c r="E263" s="7" t="s">
        <v>14</v>
      </c>
      <c r="F263" s="7">
        <v>1</v>
      </c>
      <c r="G263" s="8">
        <v>4853.55</v>
      </c>
      <c r="H263" s="7" t="s">
        <v>58</v>
      </c>
      <c r="I263" s="7" t="s">
        <v>25</v>
      </c>
      <c r="J263" s="7" t="s">
        <v>615</v>
      </c>
      <c r="K263" s="9">
        <v>4853.55</v>
      </c>
      <c r="L263" s="7" t="str">
        <f>TEXT(Table1[[#This Row],[Date]],"MMM"&amp;" yyy")</f>
        <v>Jun 2025</v>
      </c>
    </row>
    <row r="264" spans="1:12" x14ac:dyDescent="0.3">
      <c r="A264" s="5">
        <v>3234</v>
      </c>
      <c r="B264" s="6">
        <v>45812</v>
      </c>
      <c r="C264" s="7" t="s">
        <v>477</v>
      </c>
      <c r="D264" s="7" t="s">
        <v>28</v>
      </c>
      <c r="E264" s="7" t="s">
        <v>24</v>
      </c>
      <c r="F264" s="7">
        <v>2</v>
      </c>
      <c r="G264" s="8">
        <v>4882.04</v>
      </c>
      <c r="H264" s="7" t="s">
        <v>15</v>
      </c>
      <c r="I264" s="7" t="s">
        <v>25</v>
      </c>
      <c r="J264" s="7" t="s">
        <v>478</v>
      </c>
      <c r="K264" s="9">
        <v>9764.08</v>
      </c>
      <c r="L264" s="7" t="str">
        <f>TEXT(Table1[[#This Row],[Date]],"MMM"&amp;" yyy")</f>
        <v>Jun 2025</v>
      </c>
    </row>
    <row r="265" spans="1:12" x14ac:dyDescent="0.3">
      <c r="A265" s="5">
        <v>5469</v>
      </c>
      <c r="B265" s="6">
        <v>45812</v>
      </c>
      <c r="C265" s="7" t="s">
        <v>503</v>
      </c>
      <c r="D265" s="7" t="s">
        <v>23</v>
      </c>
      <c r="E265" s="7" t="s">
        <v>20</v>
      </c>
      <c r="F265" s="7">
        <v>2</v>
      </c>
      <c r="G265" s="8">
        <v>4055.24</v>
      </c>
      <c r="H265" s="7" t="s">
        <v>15</v>
      </c>
      <c r="I265" s="7" t="s">
        <v>25</v>
      </c>
      <c r="J265" s="7" t="s">
        <v>504</v>
      </c>
      <c r="K265" s="9">
        <v>8110.48</v>
      </c>
      <c r="L265" s="7" t="str">
        <f>TEXT(Table1[[#This Row],[Date]],"MMM"&amp;" yyy")</f>
        <v>Jun 2025</v>
      </c>
    </row>
    <row r="266" spans="1:12" x14ac:dyDescent="0.3">
      <c r="A266" s="5">
        <v>6388</v>
      </c>
      <c r="B266" s="6">
        <v>45812</v>
      </c>
      <c r="C266" s="7" t="s">
        <v>27</v>
      </c>
      <c r="D266" s="7" t="s">
        <v>28</v>
      </c>
      <c r="E266" s="7" t="s">
        <v>20</v>
      </c>
      <c r="F266" s="7">
        <v>3</v>
      </c>
      <c r="G266" s="8">
        <v>2366.83</v>
      </c>
      <c r="H266" s="7" t="s">
        <v>15</v>
      </c>
      <c r="I266" s="7" t="s">
        <v>29</v>
      </c>
      <c r="J266" s="7" t="s">
        <v>30</v>
      </c>
      <c r="K266" s="9">
        <v>7100.49</v>
      </c>
      <c r="L266" s="7" t="str">
        <f>TEXT(Table1[[#This Row],[Date]],"MMM"&amp;" yyy")</f>
        <v>Jun 2025</v>
      </c>
    </row>
    <row r="267" spans="1:12" x14ac:dyDescent="0.3">
      <c r="A267" s="5">
        <v>8915</v>
      </c>
      <c r="B267" s="6">
        <v>45812</v>
      </c>
      <c r="C267" s="7" t="s">
        <v>181</v>
      </c>
      <c r="D267" s="7" t="s">
        <v>55</v>
      </c>
      <c r="E267" s="7" t="s">
        <v>24</v>
      </c>
      <c r="F267" s="7">
        <v>3</v>
      </c>
      <c r="G267" s="8">
        <v>2517.17</v>
      </c>
      <c r="H267" s="7" t="s">
        <v>37</v>
      </c>
      <c r="I267" s="7" t="s">
        <v>16</v>
      </c>
      <c r="J267" s="7" t="s">
        <v>182</v>
      </c>
      <c r="K267" s="9">
        <v>7551.51</v>
      </c>
      <c r="L267" s="7" t="str">
        <f>TEXT(Table1[[#This Row],[Date]],"MMM"&amp;" yyy")</f>
        <v>Jun 2025</v>
      </c>
    </row>
    <row r="268" spans="1:12" x14ac:dyDescent="0.3">
      <c r="A268" s="5">
        <v>2569</v>
      </c>
      <c r="B268" s="6">
        <v>45813</v>
      </c>
      <c r="C268" s="7" t="s">
        <v>151</v>
      </c>
      <c r="D268" s="7" t="s">
        <v>32</v>
      </c>
      <c r="E268" s="7" t="s">
        <v>20</v>
      </c>
      <c r="F268" s="7">
        <v>4</v>
      </c>
      <c r="G268" s="8">
        <v>606.39</v>
      </c>
      <c r="H268" s="7" t="s">
        <v>58</v>
      </c>
      <c r="I268" s="7" t="s">
        <v>16</v>
      </c>
      <c r="J268" s="7" t="s">
        <v>152</v>
      </c>
      <c r="K268" s="9">
        <v>2425.56</v>
      </c>
      <c r="L268" s="7" t="str">
        <f>TEXT(Table1[[#This Row],[Date]],"MMM"&amp;" yyy")</f>
        <v>Jun 2025</v>
      </c>
    </row>
    <row r="269" spans="1:12" x14ac:dyDescent="0.3">
      <c r="A269" s="5">
        <v>4701</v>
      </c>
      <c r="B269" s="6">
        <v>45813</v>
      </c>
      <c r="C269" s="7" t="s">
        <v>392</v>
      </c>
      <c r="D269" s="7" t="s">
        <v>28</v>
      </c>
      <c r="E269" s="7" t="s">
        <v>14</v>
      </c>
      <c r="F269" s="7">
        <v>3</v>
      </c>
      <c r="G269" s="8">
        <v>4033.71</v>
      </c>
      <c r="H269" s="7" t="s">
        <v>58</v>
      </c>
      <c r="I269" s="7" t="s">
        <v>25</v>
      </c>
      <c r="J269" s="7" t="s">
        <v>393</v>
      </c>
      <c r="K269" s="9">
        <v>12101.130000000001</v>
      </c>
      <c r="L269" s="7" t="str">
        <f>TEXT(Table1[[#This Row],[Date]],"MMM"&amp;" yyy")</f>
        <v>Jun 2025</v>
      </c>
    </row>
    <row r="270" spans="1:12" x14ac:dyDescent="0.3">
      <c r="A270" s="5">
        <v>1225</v>
      </c>
      <c r="B270" s="6">
        <v>45814</v>
      </c>
      <c r="C270" s="7" t="s">
        <v>548</v>
      </c>
      <c r="D270" s="7" t="s">
        <v>23</v>
      </c>
      <c r="E270" s="7" t="s">
        <v>24</v>
      </c>
      <c r="F270" s="7">
        <v>2</v>
      </c>
      <c r="G270" s="8">
        <v>281.16000000000003</v>
      </c>
      <c r="H270" s="7" t="s">
        <v>15</v>
      </c>
      <c r="I270" s="7" t="s">
        <v>29</v>
      </c>
      <c r="J270" s="7" t="s">
        <v>549</v>
      </c>
      <c r="K270" s="9">
        <v>562.32000000000005</v>
      </c>
      <c r="L270" s="7" t="str">
        <f>TEXT(Table1[[#This Row],[Date]],"MMM"&amp;" yyy")</f>
        <v>Jun 2025</v>
      </c>
    </row>
    <row r="271" spans="1:12" x14ac:dyDescent="0.3">
      <c r="A271" s="5">
        <v>8821</v>
      </c>
      <c r="B271" s="6">
        <v>45814</v>
      </c>
      <c r="C271" s="7" t="s">
        <v>231</v>
      </c>
      <c r="D271" s="7" t="s">
        <v>45</v>
      </c>
      <c r="E271" s="7" t="s">
        <v>14</v>
      </c>
      <c r="F271" s="7">
        <v>5</v>
      </c>
      <c r="G271" s="8">
        <v>3947.84</v>
      </c>
      <c r="H271" s="7" t="s">
        <v>15</v>
      </c>
      <c r="I271" s="7" t="s">
        <v>29</v>
      </c>
      <c r="J271" s="7" t="s">
        <v>232</v>
      </c>
      <c r="K271" s="9">
        <v>19739.2</v>
      </c>
      <c r="L271" s="7" t="str">
        <f>TEXT(Table1[[#This Row],[Date]],"MMM"&amp;" yyy")</f>
        <v>Jun 2025</v>
      </c>
    </row>
    <row r="272" spans="1:12" x14ac:dyDescent="0.3">
      <c r="A272" s="5">
        <v>5108</v>
      </c>
      <c r="B272" s="6">
        <v>45815</v>
      </c>
      <c r="C272" s="7" t="s">
        <v>271</v>
      </c>
      <c r="D272" s="7" t="s">
        <v>19</v>
      </c>
      <c r="E272" s="7" t="s">
        <v>20</v>
      </c>
      <c r="F272" s="7">
        <v>3</v>
      </c>
      <c r="G272" s="8">
        <v>940.82</v>
      </c>
      <c r="H272" s="7" t="s">
        <v>15</v>
      </c>
      <c r="I272" s="7" t="s">
        <v>29</v>
      </c>
      <c r="J272" s="7" t="s">
        <v>272</v>
      </c>
      <c r="K272" s="9">
        <v>2822.46</v>
      </c>
      <c r="L272" s="7" t="str">
        <f>TEXT(Table1[[#This Row],[Date]],"MMM"&amp;" yyy")</f>
        <v>Jun 2025</v>
      </c>
    </row>
    <row r="273" spans="1:12" x14ac:dyDescent="0.3">
      <c r="A273" s="5">
        <v>8538</v>
      </c>
      <c r="B273" s="6">
        <v>45816</v>
      </c>
      <c r="C273" s="7" t="s">
        <v>62</v>
      </c>
      <c r="D273" s="7" t="s">
        <v>23</v>
      </c>
      <c r="E273" s="7" t="s">
        <v>20</v>
      </c>
      <c r="F273" s="7">
        <v>3</v>
      </c>
      <c r="G273" s="8">
        <v>1828.44</v>
      </c>
      <c r="H273" s="7" t="s">
        <v>58</v>
      </c>
      <c r="I273" s="7" t="s">
        <v>29</v>
      </c>
      <c r="J273" s="7" t="s">
        <v>63</v>
      </c>
      <c r="K273" s="9">
        <v>5485.32</v>
      </c>
      <c r="L273" s="7" t="str">
        <f>TEXT(Table1[[#This Row],[Date]],"MMM"&amp;" yyy")</f>
        <v>Jun 2025</v>
      </c>
    </row>
    <row r="274" spans="1:12" x14ac:dyDescent="0.3">
      <c r="A274" s="5">
        <v>6476</v>
      </c>
      <c r="B274" s="6">
        <v>45817</v>
      </c>
      <c r="C274" s="7" t="s">
        <v>507</v>
      </c>
      <c r="D274" s="7" t="s">
        <v>32</v>
      </c>
      <c r="E274" s="7" t="s">
        <v>24</v>
      </c>
      <c r="F274" s="7">
        <v>4</v>
      </c>
      <c r="G274" s="8">
        <v>3387.95</v>
      </c>
      <c r="H274" s="7" t="s">
        <v>58</v>
      </c>
      <c r="I274" s="7" t="s">
        <v>25</v>
      </c>
      <c r="J274" s="7" t="s">
        <v>508</v>
      </c>
      <c r="K274" s="9">
        <v>13551.8</v>
      </c>
      <c r="L274" s="7" t="str">
        <f>TEXT(Table1[[#This Row],[Date]],"MMM"&amp;" yyy")</f>
        <v>Jun 2025</v>
      </c>
    </row>
    <row r="275" spans="1:12" x14ac:dyDescent="0.3">
      <c r="A275" s="5">
        <v>7050</v>
      </c>
      <c r="B275" s="6">
        <v>45818</v>
      </c>
      <c r="C275" s="7" t="s">
        <v>388</v>
      </c>
      <c r="D275" s="7" t="s">
        <v>13</v>
      </c>
      <c r="E275" s="7" t="s">
        <v>24</v>
      </c>
      <c r="F275" s="7">
        <v>2</v>
      </c>
      <c r="G275" s="8">
        <v>653.11</v>
      </c>
      <c r="H275" s="7" t="s">
        <v>58</v>
      </c>
      <c r="I275" s="7" t="s">
        <v>29</v>
      </c>
      <c r="J275" s="7" t="s">
        <v>389</v>
      </c>
      <c r="K275" s="9">
        <v>1306.22</v>
      </c>
      <c r="L275" s="7" t="str">
        <f>TEXT(Table1[[#This Row],[Date]],"MMM"&amp;" yyy")</f>
        <v>Jun 2025</v>
      </c>
    </row>
    <row r="276" spans="1:12" x14ac:dyDescent="0.3">
      <c r="A276" s="5">
        <v>6559</v>
      </c>
      <c r="B276" s="6">
        <v>45819</v>
      </c>
      <c r="C276" s="7" t="s">
        <v>588</v>
      </c>
      <c r="D276" s="7" t="s">
        <v>42</v>
      </c>
      <c r="E276" s="7" t="s">
        <v>20</v>
      </c>
      <c r="F276" s="7">
        <v>2</v>
      </c>
      <c r="G276" s="8">
        <v>2456.52</v>
      </c>
      <c r="H276" s="7" t="s">
        <v>37</v>
      </c>
      <c r="I276" s="7" t="s">
        <v>16</v>
      </c>
      <c r="J276" s="7" t="s">
        <v>589</v>
      </c>
      <c r="K276" s="9">
        <v>4913.04</v>
      </c>
      <c r="L276" s="7" t="str">
        <f>TEXT(Table1[[#This Row],[Date]],"MMM"&amp;" yyy")</f>
        <v>Jun 2025</v>
      </c>
    </row>
    <row r="277" spans="1:12" x14ac:dyDescent="0.3">
      <c r="A277" s="5">
        <v>6180</v>
      </c>
      <c r="B277" s="6">
        <v>45820</v>
      </c>
      <c r="C277" s="7" t="s">
        <v>115</v>
      </c>
      <c r="D277" s="7" t="s">
        <v>45</v>
      </c>
      <c r="E277" s="7" t="s">
        <v>20</v>
      </c>
      <c r="F277" s="7">
        <v>2</v>
      </c>
      <c r="G277" s="8">
        <v>4166.3900000000003</v>
      </c>
      <c r="H277" s="7" t="s">
        <v>15</v>
      </c>
      <c r="I277" s="7" t="s">
        <v>29</v>
      </c>
      <c r="J277" s="7" t="s">
        <v>116</v>
      </c>
      <c r="K277" s="9">
        <v>8332.7800000000007</v>
      </c>
      <c r="L277" s="7" t="str">
        <f>TEXT(Table1[[#This Row],[Date]],"MMM"&amp;" yyy")</f>
        <v>Jun 2025</v>
      </c>
    </row>
    <row r="278" spans="1:12" x14ac:dyDescent="0.3">
      <c r="A278" s="5">
        <v>7229</v>
      </c>
      <c r="B278" s="6">
        <v>45821</v>
      </c>
      <c r="C278" s="7" t="s">
        <v>372</v>
      </c>
      <c r="D278" s="7" t="s">
        <v>48</v>
      </c>
      <c r="E278" s="7" t="s">
        <v>20</v>
      </c>
      <c r="F278" s="7">
        <v>4</v>
      </c>
      <c r="G278" s="8">
        <v>741.96</v>
      </c>
      <c r="H278" s="7" t="s">
        <v>15</v>
      </c>
      <c r="I278" s="7" t="s">
        <v>16</v>
      </c>
      <c r="J278" s="7" t="s">
        <v>373</v>
      </c>
      <c r="K278" s="9">
        <v>2967.84</v>
      </c>
      <c r="L278" s="7" t="str">
        <f>TEXT(Table1[[#This Row],[Date]],"MMM"&amp;" yyy")</f>
        <v>Jun 2025</v>
      </c>
    </row>
    <row r="279" spans="1:12" x14ac:dyDescent="0.3">
      <c r="A279" s="5">
        <v>5927</v>
      </c>
      <c r="B279" s="6">
        <v>45822</v>
      </c>
      <c r="C279" s="7" t="s">
        <v>410</v>
      </c>
      <c r="D279" s="7" t="s">
        <v>42</v>
      </c>
      <c r="E279" s="7" t="s">
        <v>24</v>
      </c>
      <c r="F279" s="7">
        <v>2</v>
      </c>
      <c r="G279" s="8">
        <v>3587.85</v>
      </c>
      <c r="H279" s="7" t="s">
        <v>15</v>
      </c>
      <c r="I279" s="7" t="s">
        <v>25</v>
      </c>
      <c r="J279" s="7" t="s">
        <v>411</v>
      </c>
      <c r="K279" s="9">
        <v>7175.7</v>
      </c>
      <c r="L279" s="7" t="str">
        <f>TEXT(Table1[[#This Row],[Date]],"MMM"&amp;" yyy")</f>
        <v>Jun 2025</v>
      </c>
    </row>
    <row r="280" spans="1:12" x14ac:dyDescent="0.3">
      <c r="A280" s="5">
        <v>6758</v>
      </c>
      <c r="B280" s="6">
        <v>45822</v>
      </c>
      <c r="C280" s="7" t="s">
        <v>135</v>
      </c>
      <c r="D280" s="7" t="s">
        <v>23</v>
      </c>
      <c r="E280" s="7" t="s">
        <v>24</v>
      </c>
      <c r="F280" s="7">
        <v>1</v>
      </c>
      <c r="G280" s="8">
        <v>321.88</v>
      </c>
      <c r="H280" s="7" t="s">
        <v>58</v>
      </c>
      <c r="I280" s="7" t="s">
        <v>29</v>
      </c>
      <c r="J280" s="7" t="s">
        <v>136</v>
      </c>
      <c r="K280" s="9">
        <v>321.88</v>
      </c>
      <c r="L280" s="7" t="str">
        <f>TEXT(Table1[[#This Row],[Date]],"MMM"&amp;" yyy")</f>
        <v>Jun 2025</v>
      </c>
    </row>
    <row r="281" spans="1:12" x14ac:dyDescent="0.3">
      <c r="A281" s="5">
        <v>8879</v>
      </c>
      <c r="B281" s="6">
        <v>45823</v>
      </c>
      <c r="C281" s="7" t="s">
        <v>390</v>
      </c>
      <c r="D281" s="7" t="s">
        <v>65</v>
      </c>
      <c r="E281" s="7" t="s">
        <v>14</v>
      </c>
      <c r="F281" s="7">
        <v>1</v>
      </c>
      <c r="G281" s="8">
        <v>3245.83</v>
      </c>
      <c r="H281" s="7" t="s">
        <v>15</v>
      </c>
      <c r="I281" s="7" t="s">
        <v>29</v>
      </c>
      <c r="J281" s="7" t="s">
        <v>391</v>
      </c>
      <c r="K281" s="9">
        <v>3245.83</v>
      </c>
      <c r="L281" s="7" t="str">
        <f>TEXT(Table1[[#This Row],[Date]],"MMM"&amp;" yyy")</f>
        <v>Jun 2025</v>
      </c>
    </row>
    <row r="282" spans="1:12" x14ac:dyDescent="0.3">
      <c r="A282" s="5">
        <v>1760</v>
      </c>
      <c r="B282" s="6">
        <v>45824</v>
      </c>
      <c r="C282" s="7" t="s">
        <v>358</v>
      </c>
      <c r="D282" s="7" t="s">
        <v>23</v>
      </c>
      <c r="E282" s="7" t="s">
        <v>14</v>
      </c>
      <c r="F282" s="7">
        <v>3</v>
      </c>
      <c r="G282" s="8">
        <v>174.98</v>
      </c>
      <c r="H282" s="7" t="s">
        <v>37</v>
      </c>
      <c r="I282" s="7" t="s">
        <v>25</v>
      </c>
      <c r="J282" s="7" t="s">
        <v>359</v>
      </c>
      <c r="K282" s="9">
        <v>524.93999999999994</v>
      </c>
      <c r="L282" s="7" t="str">
        <f>TEXT(Table1[[#This Row],[Date]],"MMM"&amp;" yyy")</f>
        <v>Jun 2025</v>
      </c>
    </row>
    <row r="283" spans="1:12" x14ac:dyDescent="0.3">
      <c r="A283" s="5">
        <v>2371</v>
      </c>
      <c r="B283" s="6">
        <v>45825</v>
      </c>
      <c r="C283" s="7" t="s">
        <v>316</v>
      </c>
      <c r="D283" s="7" t="s">
        <v>42</v>
      </c>
      <c r="E283" s="7" t="s">
        <v>20</v>
      </c>
      <c r="F283" s="7">
        <v>4</v>
      </c>
      <c r="G283" s="8">
        <v>3211.68</v>
      </c>
      <c r="H283" s="7" t="s">
        <v>37</v>
      </c>
      <c r="I283" s="7" t="s">
        <v>25</v>
      </c>
      <c r="J283" s="7" t="s">
        <v>317</v>
      </c>
      <c r="K283" s="9">
        <v>12846.72</v>
      </c>
      <c r="L283" s="7" t="str">
        <f>TEXT(Table1[[#This Row],[Date]],"MMM"&amp;" yyy")</f>
        <v>Jun 2025</v>
      </c>
    </row>
    <row r="284" spans="1:12" x14ac:dyDescent="0.3">
      <c r="A284" s="5">
        <v>2465</v>
      </c>
      <c r="B284" s="6">
        <v>45826</v>
      </c>
      <c r="C284" s="7" t="s">
        <v>123</v>
      </c>
      <c r="D284" s="7" t="s">
        <v>55</v>
      </c>
      <c r="E284" s="7" t="s">
        <v>20</v>
      </c>
      <c r="F284" s="7">
        <v>3</v>
      </c>
      <c r="G284" s="8">
        <v>1930.68</v>
      </c>
      <c r="H284" s="7" t="s">
        <v>58</v>
      </c>
      <c r="I284" s="7" t="s">
        <v>29</v>
      </c>
      <c r="J284" s="7" t="s">
        <v>124</v>
      </c>
      <c r="K284" s="9">
        <v>5792.04</v>
      </c>
      <c r="L284" s="7" t="str">
        <f>TEXT(Table1[[#This Row],[Date]],"MMM"&amp;" yyy")</f>
        <v>Jun 2025</v>
      </c>
    </row>
    <row r="285" spans="1:12" x14ac:dyDescent="0.3">
      <c r="A285" s="5">
        <v>3894</v>
      </c>
      <c r="B285" s="6">
        <v>45826</v>
      </c>
      <c r="C285" s="7" t="s">
        <v>461</v>
      </c>
      <c r="D285" s="7" t="s">
        <v>48</v>
      </c>
      <c r="E285" s="7" t="s">
        <v>14</v>
      </c>
      <c r="F285" s="7">
        <v>5</v>
      </c>
      <c r="G285" s="8">
        <v>946.1</v>
      </c>
      <c r="H285" s="7" t="s">
        <v>37</v>
      </c>
      <c r="I285" s="7" t="s">
        <v>29</v>
      </c>
      <c r="J285" s="7" t="s">
        <v>462</v>
      </c>
      <c r="K285" s="9">
        <v>4730.5</v>
      </c>
      <c r="L285" s="7" t="str">
        <f>TEXT(Table1[[#This Row],[Date]],"MMM"&amp;" yyy")</f>
        <v>Jun 2025</v>
      </c>
    </row>
    <row r="286" spans="1:12" x14ac:dyDescent="0.3">
      <c r="A286" s="5">
        <v>9456</v>
      </c>
      <c r="B286" s="6">
        <v>45826</v>
      </c>
      <c r="C286" s="7" t="s">
        <v>370</v>
      </c>
      <c r="D286" s="7" t="s">
        <v>45</v>
      </c>
      <c r="E286" s="7" t="s">
        <v>20</v>
      </c>
      <c r="F286" s="7">
        <v>5</v>
      </c>
      <c r="G286" s="8">
        <v>4347.83</v>
      </c>
      <c r="H286" s="7" t="s">
        <v>58</v>
      </c>
      <c r="I286" s="7" t="s">
        <v>16</v>
      </c>
      <c r="J286" s="7" t="s">
        <v>371</v>
      </c>
      <c r="K286" s="9">
        <v>21739.15</v>
      </c>
      <c r="L286" s="7" t="str">
        <f>TEXT(Table1[[#This Row],[Date]],"MMM"&amp;" yyy")</f>
        <v>Jun 2025</v>
      </c>
    </row>
    <row r="287" spans="1:12" x14ac:dyDescent="0.3">
      <c r="A287" s="5">
        <v>9550</v>
      </c>
      <c r="B287" s="6">
        <v>45826</v>
      </c>
      <c r="C287" s="7" t="s">
        <v>64</v>
      </c>
      <c r="D287" s="7" t="s">
        <v>65</v>
      </c>
      <c r="E287" s="7" t="s">
        <v>20</v>
      </c>
      <c r="F287" s="7">
        <v>2</v>
      </c>
      <c r="G287" s="8">
        <v>3302.91</v>
      </c>
      <c r="H287" s="7" t="s">
        <v>58</v>
      </c>
      <c r="I287" s="7" t="s">
        <v>29</v>
      </c>
      <c r="J287" s="7" t="s">
        <v>66</v>
      </c>
      <c r="K287" s="9">
        <v>6605.82</v>
      </c>
      <c r="L287" s="7" t="str">
        <f>TEXT(Table1[[#This Row],[Date]],"MMM"&amp;" yyy")</f>
        <v>Jun 2025</v>
      </c>
    </row>
    <row r="288" spans="1:12" x14ac:dyDescent="0.3">
      <c r="A288" s="5">
        <v>1576</v>
      </c>
      <c r="B288" s="6">
        <v>45828</v>
      </c>
      <c r="C288" s="7" t="s">
        <v>396</v>
      </c>
      <c r="D288" s="7" t="s">
        <v>28</v>
      </c>
      <c r="E288" s="7" t="s">
        <v>14</v>
      </c>
      <c r="F288" s="7">
        <v>4</v>
      </c>
      <c r="G288" s="8">
        <v>4756.6499999999996</v>
      </c>
      <c r="H288" s="7" t="s">
        <v>37</v>
      </c>
      <c r="I288" s="7" t="s">
        <v>25</v>
      </c>
      <c r="J288" s="7" t="s">
        <v>397</v>
      </c>
      <c r="K288" s="9">
        <v>19026.599999999999</v>
      </c>
      <c r="L288" s="7" t="str">
        <f>TEXT(Table1[[#This Row],[Date]],"MMM"&amp;" yyy")</f>
        <v>Jun 2025</v>
      </c>
    </row>
    <row r="289" spans="1:12" x14ac:dyDescent="0.3">
      <c r="A289" s="5">
        <v>9649</v>
      </c>
      <c r="B289" s="6">
        <v>45828</v>
      </c>
      <c r="C289" s="7" t="s">
        <v>105</v>
      </c>
      <c r="D289" s="7" t="s">
        <v>55</v>
      </c>
      <c r="E289" s="7" t="s">
        <v>24</v>
      </c>
      <c r="F289" s="7">
        <v>1</v>
      </c>
      <c r="G289" s="8">
        <v>3416.23</v>
      </c>
      <c r="H289" s="7" t="s">
        <v>15</v>
      </c>
      <c r="I289" s="7" t="s">
        <v>29</v>
      </c>
      <c r="J289" s="7" t="s">
        <v>106</v>
      </c>
      <c r="K289" s="9">
        <v>3416.23</v>
      </c>
      <c r="L289" s="7" t="str">
        <f>TEXT(Table1[[#This Row],[Date]],"MMM"&amp;" yyy")</f>
        <v>Jun 2025</v>
      </c>
    </row>
    <row r="290" spans="1:12" x14ac:dyDescent="0.3">
      <c r="A290" s="5">
        <v>9907</v>
      </c>
      <c r="B290" s="6">
        <v>45828</v>
      </c>
      <c r="C290" s="7" t="s">
        <v>366</v>
      </c>
      <c r="D290" s="7" t="s">
        <v>13</v>
      </c>
      <c r="E290" s="7" t="s">
        <v>14</v>
      </c>
      <c r="F290" s="7">
        <v>3</v>
      </c>
      <c r="G290" s="8">
        <v>1211.7</v>
      </c>
      <c r="H290" s="7" t="s">
        <v>15</v>
      </c>
      <c r="I290" s="7" t="s">
        <v>29</v>
      </c>
      <c r="J290" s="7" t="s">
        <v>367</v>
      </c>
      <c r="K290" s="9">
        <v>3635.1000000000004</v>
      </c>
      <c r="L290" s="7" t="str">
        <f>TEXT(Table1[[#This Row],[Date]],"MMM"&amp;" yyy")</f>
        <v>Jun 2025</v>
      </c>
    </row>
    <row r="291" spans="1:12" x14ac:dyDescent="0.3">
      <c r="A291" s="5">
        <v>5189</v>
      </c>
      <c r="B291" s="6">
        <v>45829</v>
      </c>
      <c r="C291" s="7" t="s">
        <v>483</v>
      </c>
      <c r="D291" s="7" t="s">
        <v>13</v>
      </c>
      <c r="E291" s="7" t="s">
        <v>20</v>
      </c>
      <c r="F291" s="7">
        <v>5</v>
      </c>
      <c r="G291" s="8">
        <v>3839.61</v>
      </c>
      <c r="H291" s="7" t="s">
        <v>58</v>
      </c>
      <c r="I291" s="7" t="s">
        <v>29</v>
      </c>
      <c r="J291" s="7" t="s">
        <v>484</v>
      </c>
      <c r="K291" s="9">
        <v>19198.05</v>
      </c>
      <c r="L291" s="7" t="str">
        <f>TEXT(Table1[[#This Row],[Date]],"MMM"&amp;" yyy")</f>
        <v>Jun 2025</v>
      </c>
    </row>
    <row r="292" spans="1:12" x14ac:dyDescent="0.3">
      <c r="A292" s="5">
        <v>3664</v>
      </c>
      <c r="B292" s="6">
        <v>45830</v>
      </c>
      <c r="C292" s="7" t="s">
        <v>538</v>
      </c>
      <c r="D292" s="7" t="s">
        <v>28</v>
      </c>
      <c r="E292" s="7" t="s">
        <v>14</v>
      </c>
      <c r="F292" s="7">
        <v>2</v>
      </c>
      <c r="G292" s="8">
        <v>3897.38</v>
      </c>
      <c r="H292" s="7" t="s">
        <v>58</v>
      </c>
      <c r="I292" s="7" t="s">
        <v>29</v>
      </c>
      <c r="J292" s="7" t="s">
        <v>539</v>
      </c>
      <c r="K292" s="9">
        <v>7794.76</v>
      </c>
      <c r="L292" s="7" t="str">
        <f>TEXT(Table1[[#This Row],[Date]],"MMM"&amp;" yyy")</f>
        <v>Jun 2025</v>
      </c>
    </row>
    <row r="293" spans="1:12" x14ac:dyDescent="0.3">
      <c r="A293" s="5">
        <v>4983</v>
      </c>
      <c r="B293" s="6">
        <v>45831</v>
      </c>
      <c r="C293" s="7" t="s">
        <v>269</v>
      </c>
      <c r="D293" s="7" t="s">
        <v>32</v>
      </c>
      <c r="E293" s="7" t="s">
        <v>20</v>
      </c>
      <c r="F293" s="7">
        <v>5</v>
      </c>
      <c r="G293" s="8">
        <v>4099.09</v>
      </c>
      <c r="H293" s="7" t="s">
        <v>37</v>
      </c>
      <c r="I293" s="7" t="s">
        <v>25</v>
      </c>
      <c r="J293" s="7" t="s">
        <v>270</v>
      </c>
      <c r="K293" s="9">
        <v>20495.45</v>
      </c>
      <c r="L293" s="7" t="str">
        <f>TEXT(Table1[[#This Row],[Date]],"MMM"&amp;" yyy")</f>
        <v>Jun 2025</v>
      </c>
    </row>
    <row r="294" spans="1:12" x14ac:dyDescent="0.3">
      <c r="A294" s="5">
        <v>1970</v>
      </c>
      <c r="B294" s="6">
        <v>45834</v>
      </c>
      <c r="C294" s="7" t="s">
        <v>77</v>
      </c>
      <c r="D294" s="7" t="s">
        <v>13</v>
      </c>
      <c r="E294" s="7" t="s">
        <v>24</v>
      </c>
      <c r="F294" s="7">
        <v>3</v>
      </c>
      <c r="G294" s="8">
        <v>4499.92</v>
      </c>
      <c r="H294" s="7" t="s">
        <v>15</v>
      </c>
      <c r="I294" s="7" t="s">
        <v>16</v>
      </c>
      <c r="J294" s="7" t="s">
        <v>78</v>
      </c>
      <c r="K294" s="9">
        <v>13499.76</v>
      </c>
      <c r="L294" s="7" t="str">
        <f>TEXT(Table1[[#This Row],[Date]],"MMM"&amp;" yyy")</f>
        <v>Jun 2025</v>
      </c>
    </row>
    <row r="295" spans="1:12" x14ac:dyDescent="0.3">
      <c r="A295" s="5">
        <v>5412</v>
      </c>
      <c r="B295" s="6">
        <v>45834</v>
      </c>
      <c r="C295" s="7" t="s">
        <v>562</v>
      </c>
      <c r="D295" s="7" t="s">
        <v>65</v>
      </c>
      <c r="E295" s="7" t="s">
        <v>14</v>
      </c>
      <c r="F295" s="7">
        <v>3</v>
      </c>
      <c r="G295" s="8">
        <v>2988.81</v>
      </c>
      <c r="H295" s="7" t="s">
        <v>15</v>
      </c>
      <c r="I295" s="7" t="s">
        <v>16</v>
      </c>
      <c r="J295" s="7" t="s">
        <v>563</v>
      </c>
      <c r="K295" s="9">
        <v>8966.43</v>
      </c>
      <c r="L295" s="7" t="str">
        <f>TEXT(Table1[[#This Row],[Date]],"MMM"&amp;" yyy")</f>
        <v>Jun 2025</v>
      </c>
    </row>
    <row r="296" spans="1:12" x14ac:dyDescent="0.3">
      <c r="A296" s="5">
        <v>8432</v>
      </c>
      <c r="B296" s="6">
        <v>45834</v>
      </c>
      <c r="C296" s="7" t="s">
        <v>267</v>
      </c>
      <c r="D296" s="7" t="s">
        <v>45</v>
      </c>
      <c r="E296" s="7" t="s">
        <v>20</v>
      </c>
      <c r="F296" s="7">
        <v>3</v>
      </c>
      <c r="G296" s="8">
        <v>2773.52</v>
      </c>
      <c r="H296" s="7" t="s">
        <v>15</v>
      </c>
      <c r="I296" s="7" t="s">
        <v>25</v>
      </c>
      <c r="J296" s="7" t="s">
        <v>268</v>
      </c>
      <c r="K296" s="9">
        <v>8320.56</v>
      </c>
      <c r="L296" s="7" t="str">
        <f>TEXT(Table1[[#This Row],[Date]],"MMM"&amp;" yyy")</f>
        <v>Jun 2025</v>
      </c>
    </row>
    <row r="297" spans="1:12" x14ac:dyDescent="0.3">
      <c r="A297" s="5">
        <v>9253</v>
      </c>
      <c r="B297" s="6">
        <v>45834</v>
      </c>
      <c r="C297" s="7" t="s">
        <v>475</v>
      </c>
      <c r="D297" s="7" t="s">
        <v>55</v>
      </c>
      <c r="E297" s="7" t="s">
        <v>14</v>
      </c>
      <c r="F297" s="7">
        <v>3</v>
      </c>
      <c r="G297" s="8">
        <v>2631.86</v>
      </c>
      <c r="H297" s="7" t="s">
        <v>37</v>
      </c>
      <c r="I297" s="7" t="s">
        <v>29</v>
      </c>
      <c r="J297" s="7" t="s">
        <v>476</v>
      </c>
      <c r="K297" s="9">
        <v>7895.58</v>
      </c>
      <c r="L297" s="7" t="str">
        <f>TEXT(Table1[[#This Row],[Date]],"MMM"&amp;" yyy")</f>
        <v>Jun 2025</v>
      </c>
    </row>
    <row r="298" spans="1:12" x14ac:dyDescent="0.3">
      <c r="A298" s="5">
        <v>6632</v>
      </c>
      <c r="B298" s="6">
        <v>45835</v>
      </c>
      <c r="C298" s="7" t="s">
        <v>400</v>
      </c>
      <c r="D298" s="7" t="s">
        <v>32</v>
      </c>
      <c r="E298" s="7" t="s">
        <v>24</v>
      </c>
      <c r="F298" s="7">
        <v>2</v>
      </c>
      <c r="G298" s="8">
        <v>3692.06</v>
      </c>
      <c r="H298" s="7" t="s">
        <v>15</v>
      </c>
      <c r="I298" s="7" t="s">
        <v>16</v>
      </c>
      <c r="J298" s="7" t="s">
        <v>401</v>
      </c>
      <c r="K298" s="9">
        <v>7384.12</v>
      </c>
      <c r="L298" s="7" t="str">
        <f>TEXT(Table1[[#This Row],[Date]],"MMM"&amp;" yyy")</f>
        <v>Jun 2025</v>
      </c>
    </row>
    <row r="299" spans="1:12" x14ac:dyDescent="0.3">
      <c r="A299" s="5">
        <v>9599</v>
      </c>
      <c r="B299" s="6">
        <v>45835</v>
      </c>
      <c r="C299" s="7" t="s">
        <v>87</v>
      </c>
      <c r="D299" s="7" t="s">
        <v>28</v>
      </c>
      <c r="E299" s="7" t="s">
        <v>20</v>
      </c>
      <c r="F299" s="7">
        <v>5</v>
      </c>
      <c r="G299" s="8">
        <v>1339.53</v>
      </c>
      <c r="H299" s="7" t="s">
        <v>58</v>
      </c>
      <c r="I299" s="7" t="s">
        <v>25</v>
      </c>
      <c r="J299" s="7" t="s">
        <v>88</v>
      </c>
      <c r="K299" s="9">
        <v>6697.65</v>
      </c>
      <c r="L299" s="7" t="str">
        <f>TEXT(Table1[[#This Row],[Date]],"MMM"&amp;" yyy")</f>
        <v>Jun 2025</v>
      </c>
    </row>
    <row r="300" spans="1:12" x14ac:dyDescent="0.3">
      <c r="A300" s="5">
        <v>9996</v>
      </c>
      <c r="B300" s="6">
        <v>45836</v>
      </c>
      <c r="C300" s="7" t="s">
        <v>34</v>
      </c>
      <c r="D300" s="7" t="s">
        <v>28</v>
      </c>
      <c r="E300" s="7" t="s">
        <v>14</v>
      </c>
      <c r="F300" s="7">
        <v>2</v>
      </c>
      <c r="G300" s="8">
        <v>3624.14</v>
      </c>
      <c r="H300" s="7" t="s">
        <v>15</v>
      </c>
      <c r="I300" s="7" t="s">
        <v>25</v>
      </c>
      <c r="J300" s="7" t="s">
        <v>35</v>
      </c>
      <c r="K300" s="9">
        <v>7248.28</v>
      </c>
      <c r="L300" s="7" t="str">
        <f>TEXT(Table1[[#This Row],[Date]],"MMM"&amp;" yyy")</f>
        <v>Jun 2025</v>
      </c>
    </row>
    <row r="301" spans="1:12" x14ac:dyDescent="0.3">
      <c r="A301" s="5">
        <v>2065</v>
      </c>
      <c r="B301" s="6">
        <v>45837</v>
      </c>
      <c r="C301" s="7" t="s">
        <v>497</v>
      </c>
      <c r="D301" s="7" t="s">
        <v>48</v>
      </c>
      <c r="E301" s="7" t="s">
        <v>20</v>
      </c>
      <c r="F301" s="7">
        <v>4</v>
      </c>
      <c r="G301" s="8">
        <v>4328.46</v>
      </c>
      <c r="H301" s="7" t="s">
        <v>37</v>
      </c>
      <c r="I301" s="7" t="s">
        <v>25</v>
      </c>
      <c r="J301" s="7" t="s">
        <v>498</v>
      </c>
      <c r="K301" s="9">
        <v>17313.84</v>
      </c>
      <c r="L301" s="7" t="str">
        <f>TEXT(Table1[[#This Row],[Date]],"MMM"&amp;" yyy")</f>
        <v>Jun 2025</v>
      </c>
    </row>
    <row r="302" spans="1:12" x14ac:dyDescent="0.3">
      <c r="A302" s="5">
        <v>9923</v>
      </c>
      <c r="B302" s="6">
        <v>45837</v>
      </c>
      <c r="C302" s="7" t="s">
        <v>89</v>
      </c>
      <c r="D302" s="7" t="s">
        <v>48</v>
      </c>
      <c r="E302" s="7" t="s">
        <v>20</v>
      </c>
      <c r="F302" s="7">
        <v>1</v>
      </c>
      <c r="G302" s="8">
        <v>346.17</v>
      </c>
      <c r="H302" s="7" t="s">
        <v>58</v>
      </c>
      <c r="I302" s="7" t="s">
        <v>25</v>
      </c>
      <c r="J302" s="7" t="s">
        <v>90</v>
      </c>
      <c r="K302" s="9">
        <v>346.17</v>
      </c>
      <c r="L302" s="7" t="str">
        <f>TEXT(Table1[[#This Row],[Date]],"MMM"&amp;" yyy")</f>
        <v>Jun 2025</v>
      </c>
    </row>
    <row r="303" spans="1:12" x14ac:dyDescent="0.3">
      <c r="A303" s="5">
        <v>1146</v>
      </c>
      <c r="B303" s="6">
        <v>45838</v>
      </c>
      <c r="C303" s="7" t="s">
        <v>277</v>
      </c>
      <c r="D303" s="7" t="s">
        <v>23</v>
      </c>
      <c r="E303" s="7" t="s">
        <v>14</v>
      </c>
      <c r="F303" s="7">
        <v>4</v>
      </c>
      <c r="G303" s="8">
        <v>1564.04</v>
      </c>
      <c r="H303" s="7" t="s">
        <v>37</v>
      </c>
      <c r="I303" s="7" t="s">
        <v>25</v>
      </c>
      <c r="J303" s="7" t="s">
        <v>278</v>
      </c>
      <c r="K303" s="9">
        <v>6256.16</v>
      </c>
      <c r="L303" s="7" t="str">
        <f>TEXT(Table1[[#This Row],[Date]],"MMM"&amp;" yyy")</f>
        <v>Jun 2025</v>
      </c>
    </row>
    <row r="304" spans="1:12" x14ac:dyDescent="0.3">
      <c r="A304" s="5">
        <v>9589</v>
      </c>
      <c r="B304" s="6">
        <v>45838</v>
      </c>
      <c r="C304" s="7" t="s">
        <v>544</v>
      </c>
      <c r="D304" s="7" t="s">
        <v>48</v>
      </c>
      <c r="E304" s="7" t="s">
        <v>24</v>
      </c>
      <c r="F304" s="7">
        <v>2</v>
      </c>
      <c r="G304" s="8">
        <v>2497.19</v>
      </c>
      <c r="H304" s="7" t="s">
        <v>37</v>
      </c>
      <c r="I304" s="7" t="s">
        <v>16</v>
      </c>
      <c r="J304" s="7" t="s">
        <v>545</v>
      </c>
      <c r="K304" s="9">
        <v>4994.38</v>
      </c>
      <c r="L304" s="7" t="str">
        <f>TEXT(Table1[[#This Row],[Date]],"MMM"&amp;" yyy")</f>
        <v>Jun 2025</v>
      </c>
    </row>
    <row r="305" spans="1:12" x14ac:dyDescent="0.3">
      <c r="A305" s="5">
        <v>4497</v>
      </c>
      <c r="B305" s="6">
        <v>45839</v>
      </c>
      <c r="C305" s="7" t="s">
        <v>656</v>
      </c>
      <c r="D305" s="7" t="s">
        <v>55</v>
      </c>
      <c r="E305" s="7" t="s">
        <v>24</v>
      </c>
      <c r="F305" s="7">
        <v>1</v>
      </c>
      <c r="G305" s="8">
        <v>1898.45</v>
      </c>
      <c r="H305" s="7" t="s">
        <v>58</v>
      </c>
      <c r="I305" s="7" t="s">
        <v>25</v>
      </c>
      <c r="J305" s="7" t="s">
        <v>657</v>
      </c>
      <c r="K305" s="9">
        <v>1898.45</v>
      </c>
      <c r="L305" s="7" t="str">
        <f>TEXT(Table1[[#This Row],[Date]],"MMM"&amp;" yyy")</f>
        <v>Jul 2025</v>
      </c>
    </row>
    <row r="306" spans="1:12" x14ac:dyDescent="0.3">
      <c r="A306" s="5">
        <v>5343</v>
      </c>
      <c r="B306" s="6">
        <v>45839</v>
      </c>
      <c r="C306" s="7" t="s">
        <v>469</v>
      </c>
      <c r="D306" s="7" t="s">
        <v>13</v>
      </c>
      <c r="E306" s="7" t="s">
        <v>20</v>
      </c>
      <c r="F306" s="7">
        <v>2</v>
      </c>
      <c r="G306" s="8">
        <v>4120.18</v>
      </c>
      <c r="H306" s="7" t="s">
        <v>37</v>
      </c>
      <c r="I306" s="7" t="s">
        <v>25</v>
      </c>
      <c r="J306" s="7" t="s">
        <v>470</v>
      </c>
      <c r="K306" s="9">
        <v>8240.36</v>
      </c>
      <c r="L306" s="7" t="str">
        <f>TEXT(Table1[[#This Row],[Date]],"MMM"&amp;" yyy")</f>
        <v>Jul 2025</v>
      </c>
    </row>
    <row r="307" spans="1:12" x14ac:dyDescent="0.3">
      <c r="A307" s="5">
        <v>1372</v>
      </c>
      <c r="B307" s="6">
        <v>45840</v>
      </c>
      <c r="C307" s="7" t="s">
        <v>491</v>
      </c>
      <c r="D307" s="7" t="s">
        <v>65</v>
      </c>
      <c r="E307" s="7" t="s">
        <v>14</v>
      </c>
      <c r="F307" s="7">
        <v>4</v>
      </c>
      <c r="G307" s="8">
        <v>1811.88</v>
      </c>
      <c r="H307" s="7" t="s">
        <v>15</v>
      </c>
      <c r="I307" s="7" t="s">
        <v>25</v>
      </c>
      <c r="J307" s="7" t="s">
        <v>492</v>
      </c>
      <c r="K307" s="9">
        <v>7247.52</v>
      </c>
      <c r="L307" s="7" t="str">
        <f>TEXT(Table1[[#This Row],[Date]],"MMM"&amp;" yyy")</f>
        <v>Jul 2025</v>
      </c>
    </row>
    <row r="308" spans="1:12" x14ac:dyDescent="0.3">
      <c r="A308" s="5">
        <v>6162</v>
      </c>
      <c r="B308" s="6">
        <v>45840</v>
      </c>
      <c r="C308" s="7" t="s">
        <v>318</v>
      </c>
      <c r="D308" s="7" t="s">
        <v>45</v>
      </c>
      <c r="E308" s="7" t="s">
        <v>20</v>
      </c>
      <c r="F308" s="7">
        <v>4</v>
      </c>
      <c r="G308" s="8">
        <v>4128.38</v>
      </c>
      <c r="H308" s="7" t="s">
        <v>15</v>
      </c>
      <c r="I308" s="7" t="s">
        <v>29</v>
      </c>
      <c r="J308" s="7" t="s">
        <v>319</v>
      </c>
      <c r="K308" s="9">
        <v>16513.52</v>
      </c>
      <c r="L308" s="7" t="str">
        <f>TEXT(Table1[[#This Row],[Date]],"MMM"&amp;" yyy")</f>
        <v>Jul 2025</v>
      </c>
    </row>
    <row r="309" spans="1:12" x14ac:dyDescent="0.3">
      <c r="A309" s="5">
        <v>7344</v>
      </c>
      <c r="B309" s="6">
        <v>45840</v>
      </c>
      <c r="C309" s="7" t="s">
        <v>459</v>
      </c>
      <c r="D309" s="7" t="s">
        <v>48</v>
      </c>
      <c r="E309" s="7" t="s">
        <v>20</v>
      </c>
      <c r="F309" s="7">
        <v>4</v>
      </c>
      <c r="G309" s="8">
        <v>598.65</v>
      </c>
      <c r="H309" s="7" t="s">
        <v>58</v>
      </c>
      <c r="I309" s="7" t="s">
        <v>29</v>
      </c>
      <c r="J309" s="7" t="s">
        <v>460</v>
      </c>
      <c r="K309" s="9">
        <v>2394.6</v>
      </c>
      <c r="L309" s="7" t="str">
        <f>TEXT(Table1[[#This Row],[Date]],"MMM"&amp;" yyy")</f>
        <v>Jul 2025</v>
      </c>
    </row>
    <row r="310" spans="1:12" x14ac:dyDescent="0.3">
      <c r="A310" s="5">
        <v>9565</v>
      </c>
      <c r="B310" s="6">
        <v>45840</v>
      </c>
      <c r="C310" s="7" t="s">
        <v>287</v>
      </c>
      <c r="D310" s="7" t="s">
        <v>55</v>
      </c>
      <c r="E310" s="7" t="s">
        <v>24</v>
      </c>
      <c r="F310" s="7">
        <v>4</v>
      </c>
      <c r="G310" s="8">
        <v>3178.37</v>
      </c>
      <c r="H310" s="7" t="s">
        <v>37</v>
      </c>
      <c r="I310" s="7" t="s">
        <v>29</v>
      </c>
      <c r="J310" s="7" t="s">
        <v>288</v>
      </c>
      <c r="K310" s="9">
        <v>12713.48</v>
      </c>
      <c r="L310" s="7" t="str">
        <f>TEXT(Table1[[#This Row],[Date]],"MMM"&amp;" yyy")</f>
        <v>Jul 2025</v>
      </c>
    </row>
    <row r="311" spans="1:12" x14ac:dyDescent="0.3">
      <c r="A311" s="5">
        <v>3880</v>
      </c>
      <c r="B311" s="6">
        <v>45842</v>
      </c>
      <c r="C311" s="7" t="s">
        <v>310</v>
      </c>
      <c r="D311" s="7" t="s">
        <v>42</v>
      </c>
      <c r="E311" s="7" t="s">
        <v>20</v>
      </c>
      <c r="F311" s="7">
        <v>1</v>
      </c>
      <c r="G311" s="8">
        <v>1169.98</v>
      </c>
      <c r="H311" s="7" t="s">
        <v>15</v>
      </c>
      <c r="I311" s="7" t="s">
        <v>29</v>
      </c>
      <c r="J311" s="7" t="s">
        <v>311</v>
      </c>
      <c r="K311" s="9">
        <v>1169.98</v>
      </c>
      <c r="L311" s="7" t="str">
        <f>TEXT(Table1[[#This Row],[Date]],"MMM"&amp;" yyy")</f>
        <v>Jul 2025</v>
      </c>
    </row>
    <row r="312" spans="1:12" x14ac:dyDescent="0.3">
      <c r="A312" s="5">
        <v>9156</v>
      </c>
      <c r="B312" s="6">
        <v>45842</v>
      </c>
      <c r="C312" s="7" t="s">
        <v>664</v>
      </c>
      <c r="D312" s="7" t="s">
        <v>48</v>
      </c>
      <c r="E312" s="7" t="s">
        <v>14</v>
      </c>
      <c r="F312" s="7">
        <v>2</v>
      </c>
      <c r="G312" s="8">
        <v>3587.73</v>
      </c>
      <c r="H312" s="7" t="s">
        <v>15</v>
      </c>
      <c r="I312" s="7" t="s">
        <v>16</v>
      </c>
      <c r="J312" s="7" t="s">
        <v>665</v>
      </c>
      <c r="K312" s="9">
        <v>7175.46</v>
      </c>
      <c r="L312" s="7" t="str">
        <f>TEXT(Table1[[#This Row],[Date]],"MMM"&amp;" yyy")</f>
        <v>Jul 2025</v>
      </c>
    </row>
    <row r="313" spans="1:12" x14ac:dyDescent="0.3">
      <c r="A313" s="5">
        <v>2098</v>
      </c>
      <c r="B313" s="6">
        <v>45843</v>
      </c>
      <c r="C313" s="7" t="s">
        <v>608</v>
      </c>
      <c r="D313" s="7" t="s">
        <v>45</v>
      </c>
      <c r="E313" s="7" t="s">
        <v>14</v>
      </c>
      <c r="F313" s="7">
        <v>4</v>
      </c>
      <c r="G313" s="8">
        <v>1502.43</v>
      </c>
      <c r="H313" s="7" t="s">
        <v>58</v>
      </c>
      <c r="I313" s="7" t="s">
        <v>16</v>
      </c>
      <c r="J313" s="7" t="s">
        <v>609</v>
      </c>
      <c r="K313" s="9">
        <v>6009.72</v>
      </c>
      <c r="L313" s="7" t="str">
        <f>TEXT(Table1[[#This Row],[Date]],"MMM"&amp;" yyy")</f>
        <v>Jul 2025</v>
      </c>
    </row>
    <row r="314" spans="1:12" x14ac:dyDescent="0.3">
      <c r="A314" s="5">
        <v>3756</v>
      </c>
      <c r="B314" s="6">
        <v>45844</v>
      </c>
      <c r="C314" s="7" t="s">
        <v>416</v>
      </c>
      <c r="D314" s="7" t="s">
        <v>48</v>
      </c>
      <c r="E314" s="7" t="s">
        <v>24</v>
      </c>
      <c r="F314" s="7">
        <v>5</v>
      </c>
      <c r="G314" s="8">
        <v>4874.3599999999997</v>
      </c>
      <c r="H314" s="7" t="s">
        <v>37</v>
      </c>
      <c r="I314" s="7" t="s">
        <v>29</v>
      </c>
      <c r="J314" s="7" t="s">
        <v>417</v>
      </c>
      <c r="K314" s="9">
        <v>24371.8</v>
      </c>
      <c r="L314" s="7" t="str">
        <f>TEXT(Table1[[#This Row],[Date]],"MMM"&amp;" yyy")</f>
        <v>Jul 2025</v>
      </c>
    </row>
    <row r="315" spans="1:12" x14ac:dyDescent="0.3">
      <c r="A315" s="5">
        <v>5480</v>
      </c>
      <c r="B315" s="6">
        <v>45844</v>
      </c>
      <c r="C315" s="7" t="s">
        <v>221</v>
      </c>
      <c r="D315" s="7" t="s">
        <v>19</v>
      </c>
      <c r="E315" s="7" t="s">
        <v>20</v>
      </c>
      <c r="F315" s="7">
        <v>1</v>
      </c>
      <c r="G315" s="8">
        <v>2699.51</v>
      </c>
      <c r="H315" s="7" t="s">
        <v>15</v>
      </c>
      <c r="I315" s="7" t="s">
        <v>25</v>
      </c>
      <c r="J315" s="7" t="s">
        <v>222</v>
      </c>
      <c r="K315" s="9">
        <v>2699.51</v>
      </c>
      <c r="L315" s="7" t="str">
        <f>TEXT(Table1[[#This Row],[Date]],"MMM"&amp;" yyy")</f>
        <v>Jul 2025</v>
      </c>
    </row>
    <row r="316" spans="1:12" x14ac:dyDescent="0.3">
      <c r="A316" s="5">
        <v>6963</v>
      </c>
      <c r="B316" s="6">
        <v>45844</v>
      </c>
      <c r="C316" s="7" t="s">
        <v>155</v>
      </c>
      <c r="D316" s="7" t="s">
        <v>23</v>
      </c>
      <c r="E316" s="7" t="s">
        <v>20</v>
      </c>
      <c r="F316" s="7">
        <v>4</v>
      </c>
      <c r="G316" s="8">
        <v>374.6</v>
      </c>
      <c r="H316" s="7" t="s">
        <v>58</v>
      </c>
      <c r="I316" s="7" t="s">
        <v>25</v>
      </c>
      <c r="J316" s="7" t="s">
        <v>156</v>
      </c>
      <c r="K316" s="9">
        <v>1498.4</v>
      </c>
      <c r="L316" s="7" t="str">
        <f>TEXT(Table1[[#This Row],[Date]],"MMM"&amp;" yyy")</f>
        <v>Jul 2025</v>
      </c>
    </row>
    <row r="317" spans="1:12" x14ac:dyDescent="0.3">
      <c r="A317" s="5">
        <v>4763</v>
      </c>
      <c r="B317" s="6">
        <v>45845</v>
      </c>
      <c r="C317" s="7" t="s">
        <v>175</v>
      </c>
      <c r="D317" s="7" t="s">
        <v>32</v>
      </c>
      <c r="E317" s="7" t="s">
        <v>24</v>
      </c>
      <c r="F317" s="7">
        <v>5</v>
      </c>
      <c r="G317" s="8">
        <v>2377.56</v>
      </c>
      <c r="H317" s="7" t="s">
        <v>15</v>
      </c>
      <c r="I317" s="7" t="s">
        <v>16</v>
      </c>
      <c r="J317" s="7" t="s">
        <v>176</v>
      </c>
      <c r="K317" s="9">
        <v>11887.8</v>
      </c>
      <c r="L317" s="7" t="str">
        <f>TEXT(Table1[[#This Row],[Date]],"MMM"&amp;" yyy")</f>
        <v>Jul 2025</v>
      </c>
    </row>
    <row r="318" spans="1:12" x14ac:dyDescent="0.3">
      <c r="A318" s="5">
        <v>5404</v>
      </c>
      <c r="B318" s="6">
        <v>45846</v>
      </c>
      <c r="C318" s="7" t="s">
        <v>586</v>
      </c>
      <c r="D318" s="7" t="s">
        <v>28</v>
      </c>
      <c r="E318" s="7" t="s">
        <v>20</v>
      </c>
      <c r="F318" s="7">
        <v>2</v>
      </c>
      <c r="G318" s="8">
        <v>3897.14</v>
      </c>
      <c r="H318" s="7" t="s">
        <v>15</v>
      </c>
      <c r="I318" s="7" t="s">
        <v>25</v>
      </c>
      <c r="J318" s="7" t="s">
        <v>587</v>
      </c>
      <c r="K318" s="9">
        <v>7794.28</v>
      </c>
      <c r="L318" s="7" t="str">
        <f>TEXT(Table1[[#This Row],[Date]],"MMM"&amp;" yyy")</f>
        <v>Jul 2025</v>
      </c>
    </row>
    <row r="319" spans="1:12" x14ac:dyDescent="0.3">
      <c r="A319" s="5">
        <v>7903</v>
      </c>
      <c r="B319" s="6">
        <v>45846</v>
      </c>
      <c r="C319" s="7" t="s">
        <v>660</v>
      </c>
      <c r="D319" s="7" t="s">
        <v>28</v>
      </c>
      <c r="E319" s="7" t="s">
        <v>14</v>
      </c>
      <c r="F319" s="7">
        <v>3</v>
      </c>
      <c r="G319" s="8">
        <v>3516.3</v>
      </c>
      <c r="H319" s="7" t="s">
        <v>15</v>
      </c>
      <c r="I319" s="7" t="s">
        <v>29</v>
      </c>
      <c r="J319" s="7" t="s">
        <v>661</v>
      </c>
      <c r="K319" s="9">
        <v>10548.900000000001</v>
      </c>
      <c r="L319" s="7" t="str">
        <f>TEXT(Table1[[#This Row],[Date]],"MMM"&amp;" yyy")</f>
        <v>Jul 2025</v>
      </c>
    </row>
    <row r="320" spans="1:12" x14ac:dyDescent="0.3">
      <c r="A320" s="5">
        <v>8796</v>
      </c>
      <c r="B320" s="6">
        <v>45846</v>
      </c>
      <c r="C320" s="7" t="s">
        <v>650</v>
      </c>
      <c r="D320" s="7" t="s">
        <v>32</v>
      </c>
      <c r="E320" s="7" t="s">
        <v>14</v>
      </c>
      <c r="F320" s="7">
        <v>5</v>
      </c>
      <c r="G320" s="8">
        <v>3958.63</v>
      </c>
      <c r="H320" s="7" t="s">
        <v>37</v>
      </c>
      <c r="I320" s="7" t="s">
        <v>16</v>
      </c>
      <c r="J320" s="7" t="s">
        <v>651</v>
      </c>
      <c r="K320" s="9">
        <v>19793.150000000001</v>
      </c>
      <c r="L320" s="7" t="str">
        <f>TEXT(Table1[[#This Row],[Date]],"MMM"&amp;" yyy")</f>
        <v>Jul 2025</v>
      </c>
    </row>
    <row r="321" spans="1:12" x14ac:dyDescent="0.3">
      <c r="A321" s="11">
        <v>8892</v>
      </c>
      <c r="B321" s="12">
        <v>45846</v>
      </c>
      <c r="C321" s="13" t="s">
        <v>131</v>
      </c>
      <c r="D321" s="13" t="s">
        <v>42</v>
      </c>
      <c r="E321" s="13" t="s">
        <v>24</v>
      </c>
      <c r="F321" s="13">
        <v>2</v>
      </c>
      <c r="G321" s="14">
        <v>3853.02</v>
      </c>
      <c r="H321" s="13" t="s">
        <v>15</v>
      </c>
      <c r="I321" s="13" t="s">
        <v>16</v>
      </c>
      <c r="J321" s="13" t="s">
        <v>132</v>
      </c>
      <c r="K321" s="15">
        <v>7706.04</v>
      </c>
      <c r="L321" s="13" t="str">
        <f>TEXT(Table1[[#This Row],[Date]],"MMM"&amp;" yyy")</f>
        <v>Jul 2025</v>
      </c>
    </row>
  </sheetData>
  <hyperlinks>
    <hyperlink ref="C132" r:id="rId1" xr:uid="{599F8C15-51B0-44B7-A68B-04F01B925D6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1A21-1147-45C0-A923-27D0144B8FC3}">
  <dimension ref="A1:G6"/>
  <sheetViews>
    <sheetView workbookViewId="0">
      <selection activeCell="F7" sqref="F7"/>
    </sheetView>
  </sheetViews>
  <sheetFormatPr defaultRowHeight="14.4" x14ac:dyDescent="0.3"/>
  <cols>
    <col min="1" max="1" width="16.6640625" bestFit="1" customWidth="1"/>
    <col min="2" max="3" width="12.21875" bestFit="1" customWidth="1"/>
    <col min="5" max="5" width="10.88671875" bestFit="1" customWidth="1"/>
    <col min="6" max="7" width="12.21875" bestFit="1" customWidth="1"/>
  </cols>
  <sheetData>
    <row r="1" spans="1:7" x14ac:dyDescent="0.3">
      <c r="E1" s="27" t="s">
        <v>668</v>
      </c>
    </row>
    <row r="2" spans="1:7" ht="15.6" x14ac:dyDescent="0.3">
      <c r="A2" s="22" t="s">
        <v>7</v>
      </c>
      <c r="B2" s="22" t="s">
        <v>666</v>
      </c>
      <c r="C2" s="22" t="s">
        <v>667</v>
      </c>
      <c r="E2" s="21" t="str" cm="1">
        <f t="array" ref="E2:E6">_xlfn.UNIQUE(Row_Data!E:E)</f>
        <v>Category</v>
      </c>
      <c r="F2" s="22" t="s">
        <v>666</v>
      </c>
      <c r="G2" s="22" t="s">
        <v>667</v>
      </c>
    </row>
    <row r="3" spans="1:7" x14ac:dyDescent="0.3">
      <c r="A3" s="18" t="str" cm="1">
        <f t="array" ref="A3:A5">_xlfn.UNIQUE(Table1[Payment Method])</f>
        <v>Credit Card</v>
      </c>
      <c r="B3" s="17">
        <f>SUMIF(Row_Data!H:H,sumif!A3,Row_Data!K:K)</f>
        <v>823201.31000000017</v>
      </c>
      <c r="C3" s="17">
        <f>SUMIFS(Row_Data!K:K,Row_Data!H:H,sumif!A3)</f>
        <v>823201.31000000017</v>
      </c>
      <c r="E3" s="19" t="str">
        <v>Accessories</v>
      </c>
      <c r="F3" s="20">
        <f>SUMIF(Row_Data!E:E,sumif!E3,Row_Data!K:K)</f>
        <v>817313.9700000002</v>
      </c>
      <c r="G3" s="20">
        <f>SUMIFS(Row_Data!K:K,Row_Data!E:E,sumif!E3)</f>
        <v>817313.9700000002</v>
      </c>
    </row>
    <row r="4" spans="1:7" x14ac:dyDescent="0.3">
      <c r="A4" s="18" t="str">
        <v>PayPal</v>
      </c>
      <c r="B4" s="17">
        <f>SUMIF(Row_Data!H:H,sumif!A4,Row_Data!K:K)</f>
        <v>774973.26000000013</v>
      </c>
      <c r="C4" s="17">
        <f>SUMIFS(Row_Data!K:K,Row_Data!H:H,sumif!A4)</f>
        <v>774973.26000000013</v>
      </c>
      <c r="E4" s="19" t="str">
        <v>Office</v>
      </c>
      <c r="F4" s="20">
        <f>SUMIF(Row_Data!E:E,sumif!E4,Row_Data!K:K)</f>
        <v>879055.80000000051</v>
      </c>
      <c r="G4" s="20">
        <f>SUMIFS(Row_Data!K:K,Row_Data!E:E,sumif!E4)</f>
        <v>879055.80000000051</v>
      </c>
    </row>
    <row r="5" spans="1:7" x14ac:dyDescent="0.3">
      <c r="A5" s="18" t="str">
        <v>Cash</v>
      </c>
      <c r="B5" s="17">
        <f>SUMIF(Row_Data!H:H,sumif!A5,Row_Data!K:K)</f>
        <v>829137.63</v>
      </c>
      <c r="C5" s="17">
        <f>SUMIFS(Row_Data!K:K,Row_Data!H:H,sumif!A5)</f>
        <v>829137.63</v>
      </c>
      <c r="E5" s="19" t="str">
        <v>Electronics</v>
      </c>
      <c r="F5" s="20">
        <f>SUMIF(Row_Data!E:E,sumif!E5,Row_Data!K:K)</f>
        <v>730942.42999999982</v>
      </c>
      <c r="G5" s="20">
        <f>SUMIFS(Row_Data!K:K,Row_Data!E:E,sumif!E5)</f>
        <v>730942.42999999982</v>
      </c>
    </row>
    <row r="6" spans="1:7" x14ac:dyDescent="0.3"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6982-C7DC-4FB8-B0C1-7DC68676CB2F}">
  <dimension ref="A3:H13"/>
  <sheetViews>
    <sheetView tabSelected="1" workbookViewId="0">
      <selection activeCell="D5" sqref="D5"/>
    </sheetView>
  </sheetViews>
  <sheetFormatPr defaultRowHeight="14.4" x14ac:dyDescent="0.3"/>
  <cols>
    <col min="1" max="1" width="10.88671875" bestFit="1" customWidth="1"/>
    <col min="2" max="7" width="12.21875" bestFit="1" customWidth="1"/>
    <col min="8" max="8" width="11.21875" bestFit="1" customWidth="1"/>
  </cols>
  <sheetData>
    <row r="3" spans="1:8" ht="15.6" x14ac:dyDescent="0.3">
      <c r="A3" s="24" t="str" cm="1">
        <f t="array" ref="A3:A7">_xlfn.UNIQUE(Row_Data!E:E)</f>
        <v>Category</v>
      </c>
      <c r="B3" s="23" t="str" cm="1">
        <f t="array" ref="B3:H3">TRANSPOSE(_xlfn.UNIQUE(Table1[Month]))</f>
        <v>Jan 2025</v>
      </c>
      <c r="C3" s="23" t="str">
        <v>Feb 2025</v>
      </c>
      <c r="D3" s="23" t="str">
        <v>Mar 2025</v>
      </c>
      <c r="E3" s="23" t="str">
        <v>Apr 2025</v>
      </c>
      <c r="F3" s="23" t="str">
        <v>May 2025</v>
      </c>
      <c r="G3" s="23" t="str">
        <v>Jun 2025</v>
      </c>
      <c r="H3" s="23" t="str">
        <v>Jul 2025</v>
      </c>
    </row>
    <row r="4" spans="1:8" ht="15.6" x14ac:dyDescent="0.3">
      <c r="A4" s="24" t="str">
        <v>Accessories</v>
      </c>
      <c r="B4" s="25">
        <f>SUMIFS(Row_Data!$K:$K,Row_Data!$E:$E,sumifs!$A4,Row_Data!$L:$L,sumifs!B$3)</f>
        <v>162035.91000000003</v>
      </c>
      <c r="C4" s="25">
        <f>SUMIFS(Row_Data!$K:$K,Row_Data!$E:$E,sumifs!$A4,Row_Data!$L:$L,sumifs!C$3)</f>
        <v>58684.979999999996</v>
      </c>
      <c r="D4" s="25">
        <f>SUMIFS(Row_Data!$K:$K,Row_Data!$E:$E,sumifs!$A4,Row_Data!$L:$L,sumifs!D$3)</f>
        <v>168742.47000000003</v>
      </c>
      <c r="E4" s="25">
        <f>SUMIFS(Row_Data!$K:$K,Row_Data!$E:$E,sumifs!$A4,Row_Data!$L:$L,sumifs!E$3)</f>
        <v>90056.12</v>
      </c>
      <c r="F4" s="25">
        <f>SUMIFS(Row_Data!$K:$K,Row_Data!$E:$E,sumifs!$A4,Row_Data!$L:$L,sumifs!F$3)</f>
        <v>164295.49</v>
      </c>
      <c r="G4" s="25">
        <f>SUMIFS(Row_Data!$K:$K,Row_Data!$E:$E,sumifs!$A4,Row_Data!$L:$L,sumifs!G$3)</f>
        <v>122724.25000000001</v>
      </c>
      <c r="H4" s="25">
        <f>SUMIFS(Row_Data!$K:$K,Row_Data!$E:$E,sumifs!$A4,Row_Data!$L:$L,sumifs!H$3)</f>
        <v>50774.75</v>
      </c>
    </row>
    <row r="5" spans="1:8" ht="15.6" x14ac:dyDescent="0.3">
      <c r="A5" s="24" t="str">
        <v>Office</v>
      </c>
      <c r="B5" s="25">
        <f>SUMIFS(Row_Data!$K:$K,Row_Data!$E:$E,sumifs!$A5,Row_Data!$L:$L,sumifs!B$3)</f>
        <v>146363.54</v>
      </c>
      <c r="C5" s="25">
        <f>SUMIFS(Row_Data!$K:$K,Row_Data!$E:$E,sumifs!$A5,Row_Data!$L:$L,sumifs!C$3)</f>
        <v>192734.02</v>
      </c>
      <c r="D5" s="25">
        <f>SUMIFS(Row_Data!$K:$K,Row_Data!$E:$E,sumifs!$A5,Row_Data!$L:$L,sumifs!D$3)</f>
        <v>127569.33</v>
      </c>
      <c r="E5" s="25">
        <f>SUMIFS(Row_Data!$K:$K,Row_Data!$E:$E,sumifs!$A5,Row_Data!$L:$L,sumifs!E$3)</f>
        <v>64122.329999999994</v>
      </c>
      <c r="F5" s="25">
        <f>SUMIFS(Row_Data!$K:$K,Row_Data!$E:$E,sumifs!$A5,Row_Data!$L:$L,sumifs!F$3)</f>
        <v>146442.51</v>
      </c>
      <c r="G5" s="25">
        <f>SUMIFS(Row_Data!$K:$K,Row_Data!$E:$E,sumifs!$A5,Row_Data!$L:$L,sumifs!G$3)</f>
        <v>161513.42000000001</v>
      </c>
      <c r="H5" s="25">
        <f>SUMIFS(Row_Data!$K:$K,Row_Data!$E:$E,sumifs!$A5,Row_Data!$L:$L,sumifs!H$3)</f>
        <v>40310.65</v>
      </c>
    </row>
    <row r="6" spans="1:8" ht="15.6" x14ac:dyDescent="0.3">
      <c r="A6" s="24" t="str">
        <v>Electronics</v>
      </c>
      <c r="B6" s="25">
        <f>SUMIFS(Row_Data!$K:$K,Row_Data!$E:$E,sumifs!$A6,Row_Data!$L:$L,sumifs!B$3)</f>
        <v>75799.649999999994</v>
      </c>
      <c r="C6" s="25">
        <f>SUMIFS(Row_Data!$K:$K,Row_Data!$E:$E,sumifs!$A6,Row_Data!$L:$L,sumifs!C$3)</f>
        <v>195015.08999999997</v>
      </c>
      <c r="D6" s="25">
        <f>SUMIFS(Row_Data!$K:$K,Row_Data!$E:$E,sumifs!$A6,Row_Data!$L:$L,sumifs!D$3)</f>
        <v>98814.62</v>
      </c>
      <c r="E6" s="25">
        <f>SUMIFS(Row_Data!$K:$K,Row_Data!$E:$E,sumifs!$A6,Row_Data!$L:$L,sumifs!E$3)</f>
        <v>70555.03</v>
      </c>
      <c r="F6" s="25">
        <f>SUMIFS(Row_Data!$K:$K,Row_Data!$E:$E,sumifs!$A6,Row_Data!$L:$L,sumifs!F$3)</f>
        <v>144760.49</v>
      </c>
      <c r="G6" s="25">
        <f>SUMIFS(Row_Data!$K:$K,Row_Data!$E:$E,sumifs!$A6,Row_Data!$L:$L,sumifs!G$3)</f>
        <v>87419.98</v>
      </c>
      <c r="H6" s="25">
        <f>SUMIFS(Row_Data!$K:$K,Row_Data!$E:$E,sumifs!$A6,Row_Data!$L:$L,sumifs!H$3)</f>
        <v>58577.57</v>
      </c>
    </row>
    <row r="7" spans="1:8" x14ac:dyDescent="0.3">
      <c r="A7">
        <v>0</v>
      </c>
    </row>
    <row r="9" spans="1:8" ht="15.6" x14ac:dyDescent="0.3">
      <c r="A9" s="24" t="str" cm="1">
        <f t="array" ref="A9:A13">_xlfn.UNIQUE(Row_Data!I:I)</f>
        <v>Status</v>
      </c>
      <c r="B9" s="26" t="str" cm="1">
        <f t="array" ref="B9:H9">TRANSPOSE(_xlfn.UNIQUE(Table1[Month]))</f>
        <v>Jan 2025</v>
      </c>
      <c r="C9" s="26" t="str">
        <v>Feb 2025</v>
      </c>
      <c r="D9" s="26" t="str">
        <v>Mar 2025</v>
      </c>
      <c r="E9" s="26" t="str">
        <v>Apr 2025</v>
      </c>
      <c r="F9" s="26" t="str">
        <v>May 2025</v>
      </c>
      <c r="G9" s="26" t="str">
        <v>Jun 2025</v>
      </c>
      <c r="H9" s="26" t="str">
        <v>Jul 2025</v>
      </c>
    </row>
    <row r="10" spans="1:8" ht="15.6" x14ac:dyDescent="0.3">
      <c r="A10" s="24" t="str">
        <v>Cancelled</v>
      </c>
      <c r="B10" s="25">
        <f>SUMIFS(Row_Data!$K:$K,Row_Data!$I:$I,sumifs!$A10,Row_Data!$L:$L,sumifs!B$9)</f>
        <v>128953.49000000002</v>
      </c>
      <c r="C10" s="25">
        <f>SUMIFS(Row_Data!$K:$K,Row_Data!$I:$I,sumifs!$A10,Row_Data!$L:$L,sumifs!C$9)</f>
        <v>132116.69</v>
      </c>
      <c r="D10" s="25">
        <f>SUMIFS(Row_Data!$K:$K,Row_Data!$I:$I,sumifs!$A10,Row_Data!$L:$L,sumifs!D$9)</f>
        <v>166649.14000000004</v>
      </c>
      <c r="E10" s="25">
        <f>SUMIFS(Row_Data!$K:$K,Row_Data!$I:$I,sumifs!$A10,Row_Data!$L:$L,sumifs!E$9)</f>
        <v>116227.56999999999</v>
      </c>
      <c r="F10" s="25">
        <f>SUMIFS(Row_Data!$K:$K,Row_Data!$I:$I,sumifs!$A10,Row_Data!$L:$L,sumifs!F$9)</f>
        <v>136595.43999999997</v>
      </c>
      <c r="G10" s="25">
        <f>SUMIFS(Row_Data!$K:$K,Row_Data!$I:$I,sumifs!$A10,Row_Data!$L:$L,sumifs!G$9)</f>
        <v>126518.50999999998</v>
      </c>
      <c r="H10" s="25">
        <f>SUMIFS(Row_Data!$K:$K,Row_Data!$I:$I,sumifs!$A10,Row_Data!$L:$L,sumifs!H$9)</f>
        <v>67712.28</v>
      </c>
    </row>
    <row r="11" spans="1:8" ht="15.6" x14ac:dyDescent="0.3">
      <c r="A11" s="24" t="str">
        <v>Shipped</v>
      </c>
      <c r="B11" s="25">
        <f>SUMIFS(Row_Data!$K:$K,Row_Data!$I:$I,sumifs!$A11,Row_Data!$L:$L,sumifs!B$9)</f>
        <v>141276.75000000003</v>
      </c>
      <c r="C11" s="25">
        <f>SUMIFS(Row_Data!$K:$K,Row_Data!$I:$I,sumifs!$A11,Row_Data!$L:$L,sumifs!C$9)</f>
        <v>216050.96</v>
      </c>
      <c r="D11" s="25">
        <f>SUMIFS(Row_Data!$K:$K,Row_Data!$I:$I,sumifs!$A11,Row_Data!$L:$L,sumifs!D$9)</f>
        <v>88606.63</v>
      </c>
      <c r="E11" s="25">
        <f>SUMIFS(Row_Data!$K:$K,Row_Data!$I:$I,sumifs!$A11,Row_Data!$L:$L,sumifs!E$9)</f>
        <v>64371.549999999996</v>
      </c>
      <c r="F11" s="25">
        <f>SUMIFS(Row_Data!$K:$K,Row_Data!$I:$I,sumifs!$A11,Row_Data!$L:$L,sumifs!F$9)</f>
        <v>198036.62999999995</v>
      </c>
      <c r="G11" s="25">
        <f>SUMIFS(Row_Data!$K:$K,Row_Data!$I:$I,sumifs!$A11,Row_Data!$L:$L,sumifs!G$9)</f>
        <v>90506.03</v>
      </c>
      <c r="H11" s="25">
        <f>SUMIFS(Row_Data!$K:$K,Row_Data!$I:$I,sumifs!$A11,Row_Data!$L:$L,sumifs!H$9)</f>
        <v>52572.170000000006</v>
      </c>
    </row>
    <row r="12" spans="1:8" ht="15.6" x14ac:dyDescent="0.3">
      <c r="A12" s="24" t="str">
        <v>Pending</v>
      </c>
      <c r="B12" s="25">
        <f>SUMIFS(Row_Data!$K:$K,Row_Data!$I:$I,sumifs!$A12,Row_Data!$L:$L,sumifs!B$9)</f>
        <v>113968.86000000002</v>
      </c>
      <c r="C12" s="25">
        <f>SUMIFS(Row_Data!$K:$K,Row_Data!$I:$I,sumifs!$A12,Row_Data!$L:$L,sumifs!C$9)</f>
        <v>98266.440000000017</v>
      </c>
      <c r="D12" s="25">
        <f>SUMIFS(Row_Data!$K:$K,Row_Data!$I:$I,sumifs!$A12,Row_Data!$L:$L,sumifs!D$9)</f>
        <v>139870.65</v>
      </c>
      <c r="E12" s="25">
        <f>SUMIFS(Row_Data!$K:$K,Row_Data!$I:$I,sumifs!$A12,Row_Data!$L:$L,sumifs!E$9)</f>
        <v>44134.36</v>
      </c>
      <c r="F12" s="25">
        <f>SUMIFS(Row_Data!$K:$K,Row_Data!$I:$I,sumifs!$A12,Row_Data!$L:$L,sumifs!F$9)</f>
        <v>120866.41999999998</v>
      </c>
      <c r="G12" s="25">
        <f>SUMIFS(Row_Data!$K:$K,Row_Data!$I:$I,sumifs!$A12,Row_Data!$L:$L,sumifs!G$9)</f>
        <v>154633.11000000002</v>
      </c>
      <c r="H12" s="25">
        <f>SUMIFS(Row_Data!$K:$K,Row_Data!$I:$I,sumifs!$A12,Row_Data!$L:$L,sumifs!H$9)</f>
        <v>29378.520000000004</v>
      </c>
    </row>
    <row r="13" spans="1:8" x14ac:dyDescent="0.3">
      <c r="A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Row_Data</vt:lpstr>
      <vt:lpstr>sumif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Magdy Abdelazem</dc:creator>
  <cp:lastModifiedBy>Arwa refaie</cp:lastModifiedBy>
  <dcterms:created xsi:type="dcterms:W3CDTF">2026-06-18T22:41:28Z</dcterms:created>
  <dcterms:modified xsi:type="dcterms:W3CDTF">2026-08-29T23:10:45Z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2026-06-18T23:15:02Z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4e87608e-417b-4710-96b8-06a550b3a37d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