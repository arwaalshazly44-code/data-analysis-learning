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7357402B-C150-4FE1-8301-7562106A03F3}" xr6:coauthVersionLast="47" xr6:coauthVersionMax="47" xr10:uidLastSave="{00000000-0000-0000-0000-000000000000}"/>
  <bookViews>
    <workbookView xWindow="5760" yWindow="3360" windowWidth="17280" windowHeight="8880" activeTab="1" xr2:uid="{00000000-000D-0000-FFFF-FFFF00000000}"/>
  </bookViews>
  <sheets>
    <sheet name="Employee_Data" sheetId="1" r:id="rId1"/>
    <sheet name="Questions" sheetId="2" r:id="rId2"/>
  </sheets>
  <definedNames>
    <definedName name="_xlnm._FilterDatabase" localSheetId="0" hidden="1">Employee_Data!$A$1:$AN$101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2" i="1" l="1" a="1"/>
  <c r="AN2" i="1" s="1"/>
  <c r="AM2" i="1" a="1"/>
  <c r="AM2" i="1" s="1"/>
  <c r="AL2" i="1" a="1"/>
  <c r="AL2" i="1" s="1"/>
  <c r="AK2" i="1" a="1"/>
  <c r="AK2" i="1" s="1"/>
  <c r="AJ2" i="1" a="1"/>
  <c r="AJ2" i="1" s="1"/>
  <c r="AI2" i="1" a="1"/>
  <c r="AI2" i="1" s="1"/>
  <c r="AH2" i="1" a="1"/>
  <c r="AH2" i="1" s="1"/>
  <c r="AG2" i="1" a="1"/>
  <c r="AG2" i="1" s="1"/>
  <c r="AF2" i="1" a="1"/>
  <c r="AF2" i="1" s="1"/>
  <c r="AE2" i="1" a="1"/>
  <c r="AE2" i="1" s="1"/>
  <c r="AD2" i="1"/>
  <c r="AC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2" i="1"/>
  <c r="AA2" i="1"/>
  <c r="Z2" i="1"/>
  <c r="Y2" i="1"/>
  <c r="X2" i="1"/>
  <c r="W2" i="1"/>
  <c r="V2" i="1"/>
  <c r="U2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2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2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2" i="1"/>
  <c r="N2" i="1"/>
  <c r="M2" i="1"/>
  <c r="L2" i="1"/>
  <c r="K2" i="1"/>
  <c r="AN3" i="1" a="1"/>
  <c r="AN3" i="1" s="1"/>
  <c r="AN4" i="1" a="1"/>
  <c r="AN4" i="1" s="1"/>
  <c r="AN5" i="1" a="1"/>
  <c r="AN5" i="1" s="1"/>
  <c r="AN6" i="1" a="1"/>
  <c r="AN6" i="1" s="1"/>
  <c r="AN7" i="1" a="1"/>
  <c r="AN7" i="1" s="1"/>
  <c r="AN8" i="1" a="1"/>
  <c r="AN8" i="1" s="1"/>
  <c r="AN9" i="1" a="1"/>
  <c r="AN9" i="1" s="1"/>
  <c r="AN10" i="1" a="1"/>
  <c r="AN10" i="1" s="1"/>
  <c r="AN11" i="1" a="1"/>
  <c r="AN11" i="1" s="1"/>
  <c r="AN12" i="1" a="1"/>
  <c r="AN12" i="1" s="1"/>
  <c r="AN13" i="1" a="1"/>
  <c r="AN13" i="1" s="1"/>
  <c r="AN14" i="1" a="1"/>
  <c r="AN14" i="1" s="1"/>
  <c r="AN15" i="1" a="1"/>
  <c r="AN15" i="1" s="1"/>
  <c r="AN16" i="1" a="1"/>
  <c r="AN16" i="1" s="1"/>
  <c r="AN17" i="1" a="1"/>
  <c r="AN17" i="1" s="1"/>
  <c r="AN18" i="1" a="1"/>
  <c r="AN18" i="1" s="1"/>
  <c r="AN19" i="1" a="1"/>
  <c r="AN19" i="1" s="1"/>
  <c r="AN20" i="1" a="1"/>
  <c r="AN20" i="1" s="1"/>
  <c r="AN21" i="1" a="1"/>
  <c r="AN21" i="1" s="1"/>
  <c r="AN22" i="1" a="1"/>
  <c r="AN22" i="1" s="1"/>
  <c r="AN23" i="1" a="1"/>
  <c r="AN23" i="1" s="1"/>
  <c r="AN24" i="1" a="1"/>
  <c r="AN24" i="1" s="1"/>
  <c r="AN25" i="1" a="1"/>
  <c r="AN25" i="1" s="1"/>
  <c r="AN26" i="1" a="1"/>
  <c r="AN26" i="1" s="1"/>
  <c r="AN27" i="1" a="1"/>
  <c r="AN27" i="1" s="1"/>
  <c r="AN28" i="1" a="1"/>
  <c r="AN28" i="1" s="1"/>
  <c r="AN29" i="1" a="1"/>
  <c r="AN29" i="1" s="1"/>
  <c r="AN30" i="1" a="1"/>
  <c r="AN30" i="1" s="1"/>
  <c r="AN31" i="1" a="1"/>
  <c r="AN31" i="1" s="1"/>
  <c r="AN32" i="1" a="1"/>
  <c r="AN32" i="1" s="1"/>
  <c r="AN33" i="1" a="1"/>
  <c r="AN33" i="1" s="1"/>
  <c r="AN34" i="1" a="1"/>
  <c r="AN34" i="1" s="1"/>
  <c r="AN35" i="1" a="1"/>
  <c r="AN35" i="1" s="1"/>
  <c r="AN36" i="1" a="1"/>
  <c r="AN36" i="1" s="1"/>
  <c r="AN37" i="1" a="1"/>
  <c r="AN37" i="1" s="1"/>
  <c r="AN38" i="1" a="1"/>
  <c r="AN38" i="1" s="1"/>
  <c r="AN39" i="1" a="1"/>
  <c r="AN39" i="1" s="1"/>
  <c r="AN40" i="1" a="1"/>
  <c r="AN40" i="1" s="1"/>
  <c r="AN41" i="1" a="1"/>
  <c r="AN41" i="1" s="1"/>
  <c r="AN42" i="1" a="1"/>
  <c r="AN42" i="1" s="1"/>
  <c r="AN43" i="1" a="1"/>
  <c r="AN43" i="1" s="1"/>
  <c r="AN44" i="1" a="1"/>
  <c r="AN44" i="1" s="1"/>
  <c r="AN45" i="1" a="1"/>
  <c r="AN45" i="1" s="1"/>
  <c r="AN46" i="1" a="1"/>
  <c r="AN46" i="1" s="1"/>
  <c r="AN47" i="1" a="1"/>
  <c r="AN47" i="1" s="1"/>
  <c r="AN48" i="1" a="1"/>
  <c r="AN48" i="1" s="1"/>
  <c r="AN49" i="1" a="1"/>
  <c r="AN49" i="1" s="1"/>
  <c r="AN50" i="1" a="1"/>
  <c r="AN50" i="1"/>
  <c r="AN51" i="1" a="1"/>
  <c r="AN51" i="1" s="1"/>
  <c r="AN52" i="1" a="1"/>
  <c r="AN52" i="1" s="1"/>
  <c r="AN53" i="1" a="1"/>
  <c r="AN53" i="1" s="1"/>
  <c r="AN54" i="1" a="1"/>
  <c r="AN54" i="1" s="1"/>
  <c r="AN55" i="1" a="1"/>
  <c r="AN55" i="1" s="1"/>
  <c r="AN56" i="1" a="1"/>
  <c r="AN56" i="1" s="1"/>
  <c r="AN57" i="1" a="1"/>
  <c r="AN57" i="1" s="1"/>
  <c r="AN58" i="1" a="1"/>
  <c r="AN58" i="1" s="1"/>
  <c r="AN59" i="1" a="1"/>
  <c r="AN59" i="1" s="1"/>
  <c r="AN60" i="1" a="1"/>
  <c r="AN60" i="1" s="1"/>
  <c r="AN61" i="1" a="1"/>
  <c r="AN61" i="1" s="1"/>
  <c r="AN62" i="1" a="1"/>
  <c r="AN62" i="1" s="1"/>
  <c r="AN63" i="1" a="1"/>
  <c r="AN63" i="1" s="1"/>
  <c r="AN64" i="1" a="1"/>
  <c r="AN64" i="1" s="1"/>
  <c r="AN65" i="1" a="1"/>
  <c r="AN65" i="1" s="1"/>
  <c r="AN66" i="1" a="1"/>
  <c r="AN66" i="1" s="1"/>
  <c r="AN67" i="1" a="1"/>
  <c r="AN67" i="1" s="1"/>
  <c r="AN68" i="1" a="1"/>
  <c r="AN68" i="1" s="1"/>
  <c r="AN69" i="1" a="1"/>
  <c r="AN69" i="1" s="1"/>
  <c r="AN70" i="1" a="1"/>
  <c r="AN70" i="1" s="1"/>
  <c r="AN71" i="1" a="1"/>
  <c r="AN71" i="1" s="1"/>
  <c r="AN72" i="1" a="1"/>
  <c r="AN72" i="1" s="1"/>
  <c r="AN73" i="1" a="1"/>
  <c r="AN73" i="1" s="1"/>
  <c r="AN74" i="1" a="1"/>
  <c r="AN74" i="1" s="1"/>
  <c r="AN75" i="1" a="1"/>
  <c r="AN75" i="1" s="1"/>
  <c r="AN76" i="1" a="1"/>
  <c r="AN76" i="1" s="1"/>
  <c r="AN77" i="1" a="1"/>
  <c r="AN77" i="1" s="1"/>
  <c r="AN78" i="1" a="1"/>
  <c r="AN78" i="1" s="1"/>
  <c r="AN79" i="1" a="1"/>
  <c r="AN79" i="1" s="1"/>
  <c r="AN80" i="1" a="1"/>
  <c r="AN80" i="1" s="1"/>
  <c r="AN81" i="1" a="1"/>
  <c r="AN81" i="1" s="1"/>
  <c r="AN82" i="1" a="1"/>
  <c r="AN82" i="1" s="1"/>
  <c r="AN83" i="1" a="1"/>
  <c r="AN83" i="1" s="1"/>
  <c r="AN84" i="1" a="1"/>
  <c r="AN84" i="1" s="1"/>
  <c r="AN85" i="1" a="1"/>
  <c r="AN85" i="1" s="1"/>
  <c r="AN86" i="1" a="1"/>
  <c r="AN86" i="1"/>
  <c r="AN87" i="1" a="1"/>
  <c r="AN87" i="1" s="1"/>
  <c r="AN88" i="1" a="1"/>
  <c r="AN88" i="1" s="1"/>
  <c r="AN89" i="1" a="1"/>
  <c r="AN89" i="1" s="1"/>
  <c r="AN90" i="1" a="1"/>
  <c r="AN90" i="1" s="1"/>
  <c r="AN91" i="1" a="1"/>
  <c r="AN91" i="1" s="1"/>
  <c r="AN92" i="1" a="1"/>
  <c r="AN92" i="1" s="1"/>
  <c r="AN93" i="1" a="1"/>
  <c r="AN93" i="1" s="1"/>
  <c r="AN94" i="1" a="1"/>
  <c r="AN94" i="1" s="1"/>
  <c r="AN95" i="1" a="1"/>
  <c r="AN95" i="1" s="1"/>
  <c r="AN96" i="1" a="1"/>
  <c r="AN96" i="1" s="1"/>
  <c r="AN97" i="1" a="1"/>
  <c r="AN97" i="1" s="1"/>
  <c r="AN98" i="1" a="1"/>
  <c r="AN98" i="1" s="1"/>
  <c r="AN99" i="1" a="1"/>
  <c r="AN99" i="1" s="1"/>
  <c r="AN100" i="1" a="1"/>
  <c r="AN100" i="1" s="1"/>
  <c r="AN101" i="1" a="1"/>
  <c r="AN101" i="1" s="1"/>
  <c r="AM3" i="1" a="1"/>
  <c r="AM3" i="1" s="1"/>
  <c r="AM4" i="1" a="1"/>
  <c r="AM4" i="1" s="1"/>
  <c r="AM5" i="1" a="1"/>
  <c r="AM5" i="1" s="1"/>
  <c r="AM6" i="1" a="1"/>
  <c r="AM6" i="1" s="1"/>
  <c r="AM7" i="1" a="1"/>
  <c r="AM7" i="1" s="1"/>
  <c r="AM8" i="1" a="1"/>
  <c r="AM8" i="1" s="1"/>
  <c r="AM9" i="1" a="1"/>
  <c r="AM9" i="1" s="1"/>
  <c r="AM10" i="1" a="1"/>
  <c r="AM10" i="1" s="1"/>
  <c r="AM11" i="1" a="1"/>
  <c r="AM11" i="1" s="1"/>
  <c r="AM12" i="1" a="1"/>
  <c r="AM12" i="1" s="1"/>
  <c r="AM13" i="1" a="1"/>
  <c r="AM13" i="1" s="1"/>
  <c r="AM14" i="1" a="1"/>
  <c r="AM14" i="1" s="1"/>
  <c r="AM15" i="1" a="1"/>
  <c r="AM15" i="1" s="1"/>
  <c r="AM16" i="1" a="1"/>
  <c r="AM16" i="1" s="1"/>
  <c r="AM17" i="1" a="1"/>
  <c r="AM17" i="1" s="1"/>
  <c r="AM18" i="1" a="1"/>
  <c r="AM18" i="1" s="1"/>
  <c r="AM19" i="1" a="1"/>
  <c r="AM19" i="1" s="1"/>
  <c r="AM20" i="1" a="1"/>
  <c r="AM20" i="1" s="1"/>
  <c r="AM21" i="1" a="1"/>
  <c r="AM21" i="1" s="1"/>
  <c r="AM22" i="1" a="1"/>
  <c r="AM22" i="1" s="1"/>
  <c r="AM23" i="1" a="1"/>
  <c r="AM23" i="1" s="1"/>
  <c r="AM24" i="1" a="1"/>
  <c r="AM24" i="1" s="1"/>
  <c r="AM25" i="1" a="1"/>
  <c r="AM25" i="1" s="1"/>
  <c r="AM26" i="1" a="1"/>
  <c r="AM26" i="1" s="1"/>
  <c r="AM27" i="1" a="1"/>
  <c r="AM27" i="1" s="1"/>
  <c r="AM28" i="1" a="1"/>
  <c r="AM28" i="1" s="1"/>
  <c r="AM29" i="1" a="1"/>
  <c r="AM29" i="1" s="1"/>
  <c r="AM30" i="1" a="1"/>
  <c r="AM30" i="1" s="1"/>
  <c r="AM31" i="1" a="1"/>
  <c r="AM31" i="1" s="1"/>
  <c r="AM32" i="1" a="1"/>
  <c r="AM32" i="1" s="1"/>
  <c r="AM33" i="1" a="1"/>
  <c r="AM33" i="1" s="1"/>
  <c r="AM34" i="1" a="1"/>
  <c r="AM34" i="1" s="1"/>
  <c r="AM35" i="1" a="1"/>
  <c r="AM35" i="1" s="1"/>
  <c r="AM36" i="1" a="1"/>
  <c r="AM36" i="1" s="1"/>
  <c r="AM37" i="1" a="1"/>
  <c r="AM37" i="1" s="1"/>
  <c r="AM38" i="1" a="1"/>
  <c r="AM38" i="1" s="1"/>
  <c r="AM39" i="1" a="1"/>
  <c r="AM39" i="1" s="1"/>
  <c r="AM40" i="1" a="1"/>
  <c r="AM40" i="1" s="1"/>
  <c r="AM41" i="1" a="1"/>
  <c r="AM41" i="1" s="1"/>
  <c r="AM42" i="1" a="1"/>
  <c r="AM42" i="1" s="1"/>
  <c r="AM43" i="1" a="1"/>
  <c r="AM43" i="1" s="1"/>
  <c r="AM44" i="1" a="1"/>
  <c r="AM44" i="1" s="1"/>
  <c r="AM45" i="1" a="1"/>
  <c r="AM45" i="1" s="1"/>
  <c r="AM46" i="1" a="1"/>
  <c r="AM46" i="1" s="1"/>
  <c r="AM47" i="1" a="1"/>
  <c r="AM47" i="1" s="1"/>
  <c r="AM48" i="1" a="1"/>
  <c r="AM48" i="1" s="1"/>
  <c r="AM49" i="1" a="1"/>
  <c r="AM49" i="1" s="1"/>
  <c r="AM50" i="1" a="1"/>
  <c r="AM50" i="1" s="1"/>
  <c r="AM51" i="1" a="1"/>
  <c r="AM51" i="1" s="1"/>
  <c r="AM52" i="1" a="1"/>
  <c r="AM52" i="1" s="1"/>
  <c r="AM53" i="1" a="1"/>
  <c r="AM53" i="1" s="1"/>
  <c r="AM54" i="1" a="1"/>
  <c r="AM54" i="1" s="1"/>
  <c r="AM55" i="1" a="1"/>
  <c r="AM55" i="1" s="1"/>
  <c r="AM56" i="1" a="1"/>
  <c r="AM56" i="1" s="1"/>
  <c r="AM57" i="1" a="1"/>
  <c r="AM57" i="1" s="1"/>
  <c r="AM58" i="1" a="1"/>
  <c r="AM58" i="1" s="1"/>
  <c r="AM59" i="1" a="1"/>
  <c r="AM59" i="1" s="1"/>
  <c r="AM60" i="1" a="1"/>
  <c r="AM60" i="1" s="1"/>
  <c r="AM61" i="1" a="1"/>
  <c r="AM61" i="1" s="1"/>
  <c r="AM62" i="1" a="1"/>
  <c r="AM62" i="1" s="1"/>
  <c r="AM63" i="1" a="1"/>
  <c r="AM63" i="1" s="1"/>
  <c r="AM64" i="1" a="1"/>
  <c r="AM64" i="1" s="1"/>
  <c r="AM65" i="1" a="1"/>
  <c r="AM65" i="1" s="1"/>
  <c r="AM66" i="1" a="1"/>
  <c r="AM66" i="1" s="1"/>
  <c r="AM67" i="1" a="1"/>
  <c r="AM67" i="1" s="1"/>
  <c r="AM68" i="1" a="1"/>
  <c r="AM68" i="1" s="1"/>
  <c r="AM69" i="1" a="1"/>
  <c r="AM69" i="1" s="1"/>
  <c r="AM70" i="1" a="1"/>
  <c r="AM70" i="1" s="1"/>
  <c r="AM71" i="1" a="1"/>
  <c r="AM71" i="1" s="1"/>
  <c r="AM72" i="1" a="1"/>
  <c r="AM72" i="1" s="1"/>
  <c r="AM73" i="1" a="1"/>
  <c r="AM73" i="1" s="1"/>
  <c r="AM74" i="1" a="1"/>
  <c r="AM74" i="1" s="1"/>
  <c r="AM75" i="1" a="1"/>
  <c r="AM75" i="1" s="1"/>
  <c r="AM76" i="1" a="1"/>
  <c r="AM76" i="1" s="1"/>
  <c r="AM77" i="1" a="1"/>
  <c r="AM77" i="1" s="1"/>
  <c r="AM78" i="1" a="1"/>
  <c r="AM78" i="1" s="1"/>
  <c r="AM79" i="1" a="1"/>
  <c r="AM79" i="1" s="1"/>
  <c r="AM80" i="1" a="1"/>
  <c r="AM80" i="1" s="1"/>
  <c r="AM81" i="1" a="1"/>
  <c r="AM81" i="1" s="1"/>
  <c r="AM82" i="1" a="1"/>
  <c r="AM82" i="1" s="1"/>
  <c r="AM83" i="1" a="1"/>
  <c r="AM83" i="1" s="1"/>
  <c r="AM84" i="1" a="1"/>
  <c r="AM84" i="1" s="1"/>
  <c r="AM85" i="1" a="1"/>
  <c r="AM85" i="1" s="1"/>
  <c r="AM86" i="1" a="1"/>
  <c r="AM86" i="1" s="1"/>
  <c r="AM87" i="1" a="1"/>
  <c r="AM87" i="1" s="1"/>
  <c r="AM88" i="1" a="1"/>
  <c r="AM88" i="1" s="1"/>
  <c r="AM89" i="1" a="1"/>
  <c r="AM89" i="1" s="1"/>
  <c r="AM90" i="1" a="1"/>
  <c r="AM90" i="1" s="1"/>
  <c r="AM91" i="1" a="1"/>
  <c r="AM91" i="1" s="1"/>
  <c r="AM92" i="1" a="1"/>
  <c r="AM92" i="1" s="1"/>
  <c r="AM93" i="1" a="1"/>
  <c r="AM93" i="1" s="1"/>
  <c r="AM94" i="1" a="1"/>
  <c r="AM94" i="1" s="1"/>
  <c r="AM95" i="1" a="1"/>
  <c r="AM95" i="1" s="1"/>
  <c r="AM96" i="1" a="1"/>
  <c r="AM96" i="1" s="1"/>
  <c r="AM97" i="1" a="1"/>
  <c r="AM97" i="1" s="1"/>
  <c r="AM98" i="1" a="1"/>
  <c r="AM98" i="1" s="1"/>
  <c r="AM99" i="1" a="1"/>
  <c r="AM99" i="1" s="1"/>
  <c r="AM100" i="1" a="1"/>
  <c r="AM100" i="1" s="1"/>
  <c r="AM101" i="1" a="1"/>
  <c r="AM101" i="1" s="1"/>
  <c r="AF3" i="1" a="1"/>
  <c r="AF3" i="1" s="1"/>
  <c r="AF4" i="1" a="1"/>
  <c r="AF4" i="1" s="1"/>
  <c r="AF5" i="1" a="1"/>
  <c r="AF5" i="1" s="1"/>
  <c r="AF6" i="1" a="1"/>
  <c r="AF6" i="1" s="1"/>
  <c r="AF7" i="1" a="1"/>
  <c r="AF7" i="1" s="1"/>
  <c r="AF8" i="1" a="1"/>
  <c r="AF8" i="1" s="1"/>
  <c r="AF9" i="1" a="1"/>
  <c r="AF9" i="1" s="1"/>
  <c r="AF10" i="1" a="1"/>
  <c r="AF10" i="1" s="1"/>
  <c r="AF11" i="1" a="1"/>
  <c r="AF11" i="1" s="1"/>
  <c r="AF12" i="1" a="1"/>
  <c r="AF12" i="1" s="1"/>
  <c r="AF13" i="1" a="1"/>
  <c r="AF13" i="1" s="1"/>
  <c r="AF14" i="1" a="1"/>
  <c r="AF14" i="1" s="1"/>
  <c r="AF15" i="1" a="1"/>
  <c r="AF15" i="1" s="1"/>
  <c r="AF16" i="1" a="1"/>
  <c r="AF16" i="1" s="1"/>
  <c r="AF17" i="1" a="1"/>
  <c r="AF17" i="1" s="1"/>
  <c r="AF18" i="1" a="1"/>
  <c r="AF18" i="1" s="1"/>
  <c r="AF19" i="1" a="1"/>
  <c r="AF19" i="1" s="1"/>
  <c r="AF20" i="1" a="1"/>
  <c r="AF20" i="1" s="1"/>
  <c r="AF21" i="1" a="1"/>
  <c r="AF21" i="1" s="1"/>
  <c r="AF22" i="1" a="1"/>
  <c r="AF22" i="1" s="1"/>
  <c r="AF23" i="1" a="1"/>
  <c r="AF23" i="1" s="1"/>
  <c r="AF24" i="1" a="1"/>
  <c r="AF24" i="1" s="1"/>
  <c r="AF25" i="1" a="1"/>
  <c r="AF25" i="1" s="1"/>
  <c r="AF26" i="1" a="1"/>
  <c r="AF26" i="1" s="1"/>
  <c r="AF27" i="1" a="1"/>
  <c r="AF27" i="1" s="1"/>
  <c r="AF28" i="1" a="1"/>
  <c r="AF28" i="1" s="1"/>
  <c r="AF29" i="1" a="1"/>
  <c r="AF29" i="1" s="1"/>
  <c r="AF30" i="1" a="1"/>
  <c r="AF30" i="1" s="1"/>
  <c r="AF31" i="1" a="1"/>
  <c r="AF31" i="1" s="1"/>
  <c r="AF32" i="1" a="1"/>
  <c r="AF32" i="1" s="1"/>
  <c r="AF33" i="1" a="1"/>
  <c r="AF33" i="1" s="1"/>
  <c r="AF34" i="1" a="1"/>
  <c r="AF34" i="1" s="1"/>
  <c r="AF35" i="1" a="1"/>
  <c r="AF35" i="1" s="1"/>
  <c r="AF36" i="1" a="1"/>
  <c r="AF36" i="1" s="1"/>
  <c r="AF37" i="1" a="1"/>
  <c r="AF37" i="1" s="1"/>
  <c r="AF38" i="1" a="1"/>
  <c r="AF38" i="1" s="1"/>
  <c r="AF39" i="1" a="1"/>
  <c r="AF39" i="1" s="1"/>
  <c r="AF40" i="1" a="1"/>
  <c r="AF40" i="1" s="1"/>
  <c r="AF41" i="1" a="1"/>
  <c r="AF41" i="1" s="1"/>
  <c r="AF42" i="1" a="1"/>
  <c r="AF42" i="1" s="1"/>
  <c r="AF43" i="1" a="1"/>
  <c r="AF43" i="1" s="1"/>
  <c r="AF44" i="1" a="1"/>
  <c r="AF44" i="1" s="1"/>
  <c r="AF45" i="1" a="1"/>
  <c r="AF45" i="1" s="1"/>
  <c r="AF46" i="1" a="1"/>
  <c r="AF46" i="1" s="1"/>
  <c r="AF47" i="1" a="1"/>
  <c r="AF47" i="1" s="1"/>
  <c r="AF48" i="1" a="1"/>
  <c r="AF48" i="1" s="1"/>
  <c r="AF49" i="1" a="1"/>
  <c r="AF49" i="1" s="1"/>
  <c r="AF50" i="1" a="1"/>
  <c r="AF50" i="1" s="1"/>
  <c r="AF51" i="1" a="1"/>
  <c r="AF51" i="1" s="1"/>
  <c r="AF52" i="1" a="1"/>
  <c r="AF52" i="1" s="1"/>
  <c r="AF53" i="1" a="1"/>
  <c r="AF53" i="1" s="1"/>
  <c r="AF54" i="1" a="1"/>
  <c r="AF54" i="1" s="1"/>
  <c r="AF55" i="1" a="1"/>
  <c r="AF55" i="1" s="1"/>
  <c r="AF56" i="1" a="1"/>
  <c r="AF56" i="1" s="1"/>
  <c r="AF57" i="1" a="1"/>
  <c r="AF57" i="1" s="1"/>
  <c r="AF58" i="1" a="1"/>
  <c r="AF58" i="1" s="1"/>
  <c r="AF59" i="1" a="1"/>
  <c r="AF59" i="1" s="1"/>
  <c r="AF60" i="1" a="1"/>
  <c r="AF60" i="1" s="1"/>
  <c r="AF61" i="1" a="1"/>
  <c r="AF61" i="1" s="1"/>
  <c r="AF62" i="1" a="1"/>
  <c r="AF62" i="1" s="1"/>
  <c r="AF63" i="1" a="1"/>
  <c r="AF63" i="1" s="1"/>
  <c r="AF64" i="1" a="1"/>
  <c r="AF64" i="1" s="1"/>
  <c r="AF65" i="1" a="1"/>
  <c r="AF65" i="1" s="1"/>
  <c r="AF66" i="1" a="1"/>
  <c r="AF66" i="1" s="1"/>
  <c r="AF67" i="1" a="1"/>
  <c r="AF67" i="1" s="1"/>
  <c r="AF68" i="1" a="1"/>
  <c r="AF68" i="1" s="1"/>
  <c r="AF69" i="1" a="1"/>
  <c r="AF69" i="1" s="1"/>
  <c r="AF70" i="1" a="1"/>
  <c r="AF70" i="1" s="1"/>
  <c r="AF71" i="1" a="1"/>
  <c r="AF71" i="1" s="1"/>
  <c r="AF72" i="1" a="1"/>
  <c r="AF72" i="1" s="1"/>
  <c r="AF73" i="1" a="1"/>
  <c r="AF73" i="1" s="1"/>
  <c r="AF74" i="1" a="1"/>
  <c r="AF74" i="1" s="1"/>
  <c r="AF75" i="1" a="1"/>
  <c r="AF75" i="1" s="1"/>
  <c r="AF76" i="1" a="1"/>
  <c r="AF76" i="1" s="1"/>
  <c r="AF77" i="1" a="1"/>
  <c r="AF77" i="1" s="1"/>
  <c r="AF78" i="1" a="1"/>
  <c r="AF78" i="1" s="1"/>
  <c r="AF79" i="1" a="1"/>
  <c r="AF79" i="1" s="1"/>
  <c r="AF80" i="1" a="1"/>
  <c r="AF80" i="1" s="1"/>
  <c r="AF81" i="1" a="1"/>
  <c r="AF81" i="1" s="1"/>
  <c r="AF82" i="1" a="1"/>
  <c r="AF82" i="1" s="1"/>
  <c r="AF83" i="1" a="1"/>
  <c r="AF83" i="1" s="1"/>
  <c r="AF84" i="1" a="1"/>
  <c r="AF84" i="1" s="1"/>
  <c r="AF85" i="1" a="1"/>
  <c r="AF85" i="1" s="1"/>
  <c r="AF86" i="1" a="1"/>
  <c r="AF86" i="1" s="1"/>
  <c r="AF87" i="1" a="1"/>
  <c r="AF87" i="1" s="1"/>
  <c r="AF88" i="1" a="1"/>
  <c r="AF88" i="1" s="1"/>
  <c r="AF89" i="1" a="1"/>
  <c r="AF89" i="1" s="1"/>
  <c r="AF90" i="1" a="1"/>
  <c r="AF90" i="1" s="1"/>
  <c r="AF91" i="1" a="1"/>
  <c r="AF91" i="1" s="1"/>
  <c r="AF92" i="1" a="1"/>
  <c r="AF92" i="1" s="1"/>
  <c r="AF93" i="1" a="1"/>
  <c r="AF93" i="1" s="1"/>
  <c r="AF94" i="1" a="1"/>
  <c r="AF94" i="1" s="1"/>
  <c r="AF95" i="1" a="1"/>
  <c r="AF95" i="1" s="1"/>
  <c r="AF96" i="1" a="1"/>
  <c r="AF96" i="1" s="1"/>
  <c r="AF97" i="1" a="1"/>
  <c r="AF97" i="1" s="1"/>
  <c r="AF98" i="1" a="1"/>
  <c r="AF98" i="1" s="1"/>
  <c r="AF99" i="1" a="1"/>
  <c r="AF99" i="1" s="1"/>
  <c r="AF100" i="1" a="1"/>
  <c r="AF100" i="1" s="1"/>
  <c r="AF101" i="1" a="1"/>
  <c r="AF101" i="1" s="1"/>
  <c r="AG3" i="1" a="1"/>
  <c r="AG3" i="1" s="1"/>
  <c r="AG4" i="1" a="1"/>
  <c r="AG4" i="1" s="1"/>
  <c r="AG5" i="1" a="1"/>
  <c r="AG5" i="1" s="1"/>
  <c r="AG6" i="1" a="1"/>
  <c r="AG6" i="1" s="1"/>
  <c r="AG7" i="1" a="1"/>
  <c r="AG7" i="1" s="1"/>
  <c r="AG8" i="1" a="1"/>
  <c r="AG8" i="1" s="1"/>
  <c r="AG9" i="1" a="1"/>
  <c r="AG9" i="1" s="1"/>
  <c r="AG10" i="1" a="1"/>
  <c r="AG10" i="1" s="1"/>
  <c r="AG11" i="1" a="1"/>
  <c r="AG11" i="1" s="1"/>
  <c r="AG12" i="1" a="1"/>
  <c r="AG12" i="1" s="1"/>
  <c r="AG13" i="1" a="1"/>
  <c r="AG13" i="1" s="1"/>
  <c r="AG14" i="1" a="1"/>
  <c r="AG14" i="1" s="1"/>
  <c r="AG15" i="1" a="1"/>
  <c r="AG15" i="1" s="1"/>
  <c r="AG16" i="1" a="1"/>
  <c r="AG16" i="1" s="1"/>
  <c r="AG17" i="1" a="1"/>
  <c r="AG17" i="1" s="1"/>
  <c r="AG18" i="1" a="1"/>
  <c r="AG18" i="1" s="1"/>
  <c r="AG19" i="1" a="1"/>
  <c r="AG19" i="1" s="1"/>
  <c r="AG20" i="1" a="1"/>
  <c r="AG20" i="1" s="1"/>
  <c r="AG21" i="1" a="1"/>
  <c r="AG21" i="1" s="1"/>
  <c r="AG22" i="1" a="1"/>
  <c r="AG22" i="1" s="1"/>
  <c r="AG23" i="1" a="1"/>
  <c r="AG23" i="1" s="1"/>
  <c r="AG24" i="1" a="1"/>
  <c r="AG24" i="1" s="1"/>
  <c r="AG25" i="1" a="1"/>
  <c r="AG25" i="1" s="1"/>
  <c r="AG26" i="1" a="1"/>
  <c r="AG26" i="1" s="1"/>
  <c r="AG27" i="1" a="1"/>
  <c r="AG27" i="1" s="1"/>
  <c r="AG28" i="1" a="1"/>
  <c r="AG28" i="1" s="1"/>
  <c r="AG29" i="1" a="1"/>
  <c r="AG29" i="1" s="1"/>
  <c r="AG30" i="1" a="1"/>
  <c r="AG30" i="1" s="1"/>
  <c r="AG31" i="1" a="1"/>
  <c r="AG31" i="1" s="1"/>
  <c r="AG32" i="1" a="1"/>
  <c r="AG32" i="1" s="1"/>
  <c r="AG33" i="1" a="1"/>
  <c r="AG33" i="1" s="1"/>
  <c r="AG34" i="1" a="1"/>
  <c r="AG34" i="1" s="1"/>
  <c r="AG35" i="1" a="1"/>
  <c r="AG35" i="1" s="1"/>
  <c r="AG36" i="1" a="1"/>
  <c r="AG36" i="1" s="1"/>
  <c r="AG37" i="1" a="1"/>
  <c r="AG37" i="1" s="1"/>
  <c r="AG38" i="1" a="1"/>
  <c r="AG38" i="1" s="1"/>
  <c r="AG39" i="1" a="1"/>
  <c r="AG39" i="1" s="1"/>
  <c r="AG40" i="1" a="1"/>
  <c r="AG40" i="1" s="1"/>
  <c r="AG41" i="1" a="1"/>
  <c r="AG41" i="1" s="1"/>
  <c r="AG42" i="1" a="1"/>
  <c r="AG42" i="1" s="1"/>
  <c r="AG43" i="1" a="1"/>
  <c r="AG43" i="1" s="1"/>
  <c r="AG44" i="1" a="1"/>
  <c r="AG44" i="1" s="1"/>
  <c r="AG45" i="1" a="1"/>
  <c r="AG45" i="1" s="1"/>
  <c r="AG46" i="1" a="1"/>
  <c r="AG46" i="1" s="1"/>
  <c r="AG47" i="1" a="1"/>
  <c r="AG47" i="1" s="1"/>
  <c r="AG48" i="1" a="1"/>
  <c r="AG48" i="1" s="1"/>
  <c r="AG49" i="1" a="1"/>
  <c r="AG49" i="1" s="1"/>
  <c r="AG50" i="1" a="1"/>
  <c r="AG50" i="1" s="1"/>
  <c r="AG51" i="1" a="1"/>
  <c r="AG51" i="1" s="1"/>
  <c r="AG52" i="1" a="1"/>
  <c r="AG52" i="1" s="1"/>
  <c r="AG53" i="1" a="1"/>
  <c r="AG53" i="1" s="1"/>
  <c r="AG54" i="1" a="1"/>
  <c r="AG54" i="1" s="1"/>
  <c r="AG55" i="1" a="1"/>
  <c r="AG55" i="1" s="1"/>
  <c r="AG56" i="1" a="1"/>
  <c r="AG56" i="1" s="1"/>
  <c r="AG57" i="1" a="1"/>
  <c r="AG57" i="1" s="1"/>
  <c r="AG58" i="1" a="1"/>
  <c r="AG58" i="1" s="1"/>
  <c r="AG59" i="1" a="1"/>
  <c r="AG59" i="1" s="1"/>
  <c r="AG60" i="1" a="1"/>
  <c r="AG60" i="1" s="1"/>
  <c r="AG61" i="1" a="1"/>
  <c r="AG61" i="1" s="1"/>
  <c r="AG62" i="1" a="1"/>
  <c r="AG62" i="1" s="1"/>
  <c r="AG63" i="1" a="1"/>
  <c r="AG63" i="1" s="1"/>
  <c r="AG64" i="1" a="1"/>
  <c r="AG64" i="1" s="1"/>
  <c r="AG65" i="1" a="1"/>
  <c r="AG65" i="1" s="1"/>
  <c r="AG66" i="1" a="1"/>
  <c r="AG66" i="1" s="1"/>
  <c r="AG67" i="1" a="1"/>
  <c r="AG67" i="1" s="1"/>
  <c r="AG68" i="1" a="1"/>
  <c r="AG68" i="1" s="1"/>
  <c r="AG69" i="1" a="1"/>
  <c r="AG69" i="1" s="1"/>
  <c r="AG70" i="1" a="1"/>
  <c r="AG70" i="1" s="1"/>
  <c r="AG71" i="1" a="1"/>
  <c r="AG71" i="1" s="1"/>
  <c r="AG72" i="1" a="1"/>
  <c r="AG72" i="1" s="1"/>
  <c r="AG73" i="1" a="1"/>
  <c r="AG73" i="1" s="1"/>
  <c r="AG74" i="1" a="1"/>
  <c r="AG74" i="1" s="1"/>
  <c r="AG75" i="1" a="1"/>
  <c r="AG75" i="1" s="1"/>
  <c r="AG76" i="1" a="1"/>
  <c r="AG76" i="1" s="1"/>
  <c r="AG77" i="1" a="1"/>
  <c r="AG77" i="1" s="1"/>
  <c r="AG78" i="1" a="1"/>
  <c r="AG78" i="1" s="1"/>
  <c r="AG79" i="1" a="1"/>
  <c r="AG79" i="1" s="1"/>
  <c r="AG80" i="1" a="1"/>
  <c r="AG80" i="1" s="1"/>
  <c r="AG81" i="1" a="1"/>
  <c r="AG81" i="1" s="1"/>
  <c r="AG82" i="1" a="1"/>
  <c r="AG82" i="1" s="1"/>
  <c r="AG83" i="1" a="1"/>
  <c r="AG83" i="1" s="1"/>
  <c r="AG84" i="1" a="1"/>
  <c r="AG84" i="1" s="1"/>
  <c r="AG85" i="1" a="1"/>
  <c r="AG85" i="1" s="1"/>
  <c r="AG86" i="1" a="1"/>
  <c r="AG86" i="1" s="1"/>
  <c r="AG87" i="1" a="1"/>
  <c r="AG87" i="1" s="1"/>
  <c r="AG88" i="1" a="1"/>
  <c r="AG88" i="1" s="1"/>
  <c r="AG89" i="1" a="1"/>
  <c r="AG89" i="1" s="1"/>
  <c r="AG90" i="1" a="1"/>
  <c r="AG90" i="1" s="1"/>
  <c r="AG91" i="1" a="1"/>
  <c r="AG91" i="1" s="1"/>
  <c r="AG92" i="1" a="1"/>
  <c r="AG92" i="1" s="1"/>
  <c r="AG93" i="1" a="1"/>
  <c r="AG93" i="1" s="1"/>
  <c r="AG94" i="1" a="1"/>
  <c r="AG94" i="1" s="1"/>
  <c r="AG95" i="1" a="1"/>
  <c r="AG95" i="1" s="1"/>
  <c r="AG96" i="1" a="1"/>
  <c r="AG96" i="1" s="1"/>
  <c r="AG97" i="1" a="1"/>
  <c r="AG97" i="1" s="1"/>
  <c r="AG98" i="1" a="1"/>
  <c r="AG98" i="1" s="1"/>
  <c r="AG99" i="1" a="1"/>
  <c r="AG99" i="1" s="1"/>
  <c r="AG100" i="1" a="1"/>
  <c r="AG100" i="1" s="1"/>
  <c r="AG101" i="1" a="1"/>
  <c r="AG101" i="1" s="1"/>
  <c r="AH3" i="1" a="1"/>
  <c r="AH3" i="1" s="1"/>
  <c r="AH4" i="1" a="1"/>
  <c r="AH4" i="1" s="1"/>
  <c r="AH5" i="1" a="1"/>
  <c r="AH5" i="1" s="1"/>
  <c r="AH6" i="1" a="1"/>
  <c r="AH6" i="1" s="1"/>
  <c r="AH7" i="1" a="1"/>
  <c r="AH7" i="1" s="1"/>
  <c r="AH8" i="1" a="1"/>
  <c r="AH8" i="1" s="1"/>
  <c r="AH9" i="1" a="1"/>
  <c r="AH9" i="1" s="1"/>
  <c r="AH10" i="1" a="1"/>
  <c r="AH10" i="1" s="1"/>
  <c r="AH11" i="1" a="1"/>
  <c r="AH11" i="1" s="1"/>
  <c r="AH12" i="1" a="1"/>
  <c r="AH12" i="1" s="1"/>
  <c r="AH13" i="1" a="1"/>
  <c r="AH13" i="1" s="1"/>
  <c r="AH14" i="1" a="1"/>
  <c r="AH14" i="1" s="1"/>
  <c r="AH15" i="1" a="1"/>
  <c r="AH15" i="1" s="1"/>
  <c r="AH16" i="1" a="1"/>
  <c r="AH16" i="1" s="1"/>
  <c r="AH17" i="1" a="1"/>
  <c r="AH17" i="1" s="1"/>
  <c r="AH18" i="1" a="1"/>
  <c r="AH18" i="1" s="1"/>
  <c r="AH19" i="1" a="1"/>
  <c r="AH19" i="1" s="1"/>
  <c r="AH20" i="1" a="1"/>
  <c r="AH20" i="1" s="1"/>
  <c r="AH21" i="1" a="1"/>
  <c r="AH21" i="1" s="1"/>
  <c r="AH22" i="1" a="1"/>
  <c r="AH22" i="1" s="1"/>
  <c r="AH23" i="1" a="1"/>
  <c r="AH23" i="1" s="1"/>
  <c r="AH24" i="1" a="1"/>
  <c r="AH24" i="1" s="1"/>
  <c r="AH25" i="1" a="1"/>
  <c r="AH25" i="1" s="1"/>
  <c r="AH26" i="1" a="1"/>
  <c r="AH26" i="1" s="1"/>
  <c r="AH27" i="1" a="1"/>
  <c r="AH27" i="1" s="1"/>
  <c r="AH28" i="1" a="1"/>
  <c r="AH28" i="1" s="1"/>
  <c r="AH29" i="1" a="1"/>
  <c r="AH29" i="1" s="1"/>
  <c r="AH30" i="1" a="1"/>
  <c r="AH30" i="1" s="1"/>
  <c r="AH31" i="1" a="1"/>
  <c r="AH31" i="1" s="1"/>
  <c r="AH32" i="1" a="1"/>
  <c r="AH32" i="1" s="1"/>
  <c r="AH33" i="1" a="1"/>
  <c r="AH33" i="1" s="1"/>
  <c r="AH34" i="1" a="1"/>
  <c r="AH34" i="1" s="1"/>
  <c r="AH35" i="1" a="1"/>
  <c r="AH35" i="1" s="1"/>
  <c r="AH36" i="1" a="1"/>
  <c r="AH36" i="1" s="1"/>
  <c r="AH37" i="1" a="1"/>
  <c r="AH37" i="1" s="1"/>
  <c r="AH38" i="1" a="1"/>
  <c r="AH38" i="1" s="1"/>
  <c r="AH39" i="1" a="1"/>
  <c r="AH39" i="1" s="1"/>
  <c r="AH40" i="1" a="1"/>
  <c r="AH40" i="1" s="1"/>
  <c r="AH41" i="1" a="1"/>
  <c r="AH41" i="1" s="1"/>
  <c r="AH42" i="1" a="1"/>
  <c r="AH42" i="1" s="1"/>
  <c r="AH43" i="1" a="1"/>
  <c r="AH43" i="1" s="1"/>
  <c r="AH44" i="1" a="1"/>
  <c r="AH44" i="1" s="1"/>
  <c r="AH45" i="1" a="1"/>
  <c r="AH45" i="1" s="1"/>
  <c r="AH46" i="1" a="1"/>
  <c r="AH46" i="1" s="1"/>
  <c r="AH47" i="1" a="1"/>
  <c r="AH47" i="1" s="1"/>
  <c r="AH48" i="1" a="1"/>
  <c r="AH48" i="1" s="1"/>
  <c r="AH49" i="1" a="1"/>
  <c r="AH49" i="1" s="1"/>
  <c r="AH50" i="1" a="1"/>
  <c r="AH50" i="1" s="1"/>
  <c r="AH51" i="1" a="1"/>
  <c r="AH51" i="1" s="1"/>
  <c r="AH52" i="1" a="1"/>
  <c r="AH52" i="1" s="1"/>
  <c r="AH53" i="1" a="1"/>
  <c r="AH53" i="1" s="1"/>
  <c r="AH54" i="1" a="1"/>
  <c r="AH54" i="1" s="1"/>
  <c r="AH55" i="1" a="1"/>
  <c r="AH55" i="1" s="1"/>
  <c r="AH56" i="1" a="1"/>
  <c r="AH56" i="1" s="1"/>
  <c r="AH57" i="1" a="1"/>
  <c r="AH57" i="1" s="1"/>
  <c r="AH58" i="1" a="1"/>
  <c r="AH58" i="1" s="1"/>
  <c r="AH59" i="1" a="1"/>
  <c r="AH59" i="1" s="1"/>
  <c r="AH60" i="1" a="1"/>
  <c r="AH60" i="1" s="1"/>
  <c r="AH61" i="1" a="1"/>
  <c r="AH61" i="1" s="1"/>
  <c r="AH62" i="1" a="1"/>
  <c r="AH62" i="1" s="1"/>
  <c r="AH63" i="1" a="1"/>
  <c r="AH63" i="1" s="1"/>
  <c r="AH64" i="1" a="1"/>
  <c r="AH64" i="1" s="1"/>
  <c r="AH65" i="1" a="1"/>
  <c r="AH65" i="1" s="1"/>
  <c r="AH66" i="1" a="1"/>
  <c r="AH66" i="1" s="1"/>
  <c r="AH67" i="1" a="1"/>
  <c r="AH67" i="1" s="1"/>
  <c r="AH68" i="1" a="1"/>
  <c r="AH68" i="1" s="1"/>
  <c r="AH69" i="1" a="1"/>
  <c r="AH69" i="1" s="1"/>
  <c r="AH70" i="1" a="1"/>
  <c r="AH70" i="1" s="1"/>
  <c r="AH71" i="1" a="1"/>
  <c r="AH71" i="1" s="1"/>
  <c r="AH72" i="1" a="1"/>
  <c r="AH72" i="1" s="1"/>
  <c r="AH73" i="1" a="1"/>
  <c r="AH73" i="1" s="1"/>
  <c r="AH74" i="1" a="1"/>
  <c r="AH74" i="1" s="1"/>
  <c r="AH75" i="1" a="1"/>
  <c r="AH75" i="1" s="1"/>
  <c r="AH76" i="1" a="1"/>
  <c r="AH76" i="1" s="1"/>
  <c r="AH77" i="1" a="1"/>
  <c r="AH77" i="1" s="1"/>
  <c r="AH78" i="1" a="1"/>
  <c r="AH78" i="1" s="1"/>
  <c r="AH79" i="1" a="1"/>
  <c r="AH79" i="1" s="1"/>
  <c r="AH80" i="1" a="1"/>
  <c r="AH80" i="1" s="1"/>
  <c r="AH81" i="1" a="1"/>
  <c r="AH81" i="1" s="1"/>
  <c r="AH82" i="1" a="1"/>
  <c r="AH82" i="1" s="1"/>
  <c r="AH83" i="1" a="1"/>
  <c r="AH83" i="1" s="1"/>
  <c r="AH84" i="1" a="1"/>
  <c r="AH84" i="1" s="1"/>
  <c r="AH85" i="1" a="1"/>
  <c r="AH85" i="1" s="1"/>
  <c r="AH86" i="1" a="1"/>
  <c r="AH86" i="1" s="1"/>
  <c r="AH87" i="1" a="1"/>
  <c r="AH87" i="1" s="1"/>
  <c r="AH88" i="1" a="1"/>
  <c r="AH88" i="1" s="1"/>
  <c r="AH89" i="1" a="1"/>
  <c r="AH89" i="1" s="1"/>
  <c r="AH90" i="1" a="1"/>
  <c r="AH90" i="1" s="1"/>
  <c r="AH91" i="1" a="1"/>
  <c r="AH91" i="1" s="1"/>
  <c r="AH92" i="1" a="1"/>
  <c r="AH92" i="1" s="1"/>
  <c r="AH93" i="1" a="1"/>
  <c r="AH93" i="1" s="1"/>
  <c r="AH94" i="1" a="1"/>
  <c r="AH94" i="1" s="1"/>
  <c r="AH95" i="1" a="1"/>
  <c r="AH95" i="1" s="1"/>
  <c r="AH96" i="1" a="1"/>
  <c r="AH96" i="1" s="1"/>
  <c r="AH97" i="1" a="1"/>
  <c r="AH97" i="1" s="1"/>
  <c r="AH98" i="1" a="1"/>
  <c r="AH98" i="1" s="1"/>
  <c r="AH99" i="1" a="1"/>
  <c r="AH99" i="1" s="1"/>
  <c r="AH100" i="1" a="1"/>
  <c r="AH100" i="1" s="1"/>
  <c r="AH101" i="1" a="1"/>
  <c r="AH101" i="1" s="1"/>
  <c r="AI3" i="1" a="1"/>
  <c r="AI3" i="1" s="1"/>
  <c r="AI4" i="1" a="1"/>
  <c r="AI4" i="1" s="1"/>
  <c r="AI5" i="1" a="1"/>
  <c r="AI5" i="1" s="1"/>
  <c r="AI6" i="1" a="1"/>
  <c r="AI6" i="1" s="1"/>
  <c r="AI7" i="1" a="1"/>
  <c r="AI7" i="1" s="1"/>
  <c r="AI8" i="1" a="1"/>
  <c r="AI8" i="1" s="1"/>
  <c r="AI9" i="1" a="1"/>
  <c r="AI9" i="1" s="1"/>
  <c r="AI10" i="1" a="1"/>
  <c r="AI10" i="1" s="1"/>
  <c r="AI11" i="1" a="1"/>
  <c r="AI11" i="1" s="1"/>
  <c r="AI12" i="1" a="1"/>
  <c r="AI12" i="1" s="1"/>
  <c r="AI13" i="1" a="1"/>
  <c r="AI13" i="1" s="1"/>
  <c r="AI14" i="1" a="1"/>
  <c r="AI14" i="1"/>
  <c r="AI15" i="1" a="1"/>
  <c r="AI15" i="1" s="1"/>
  <c r="AI16" i="1" a="1"/>
  <c r="AI16" i="1" s="1"/>
  <c r="AI17" i="1" a="1"/>
  <c r="AI17" i="1" s="1"/>
  <c r="AI18" i="1" a="1"/>
  <c r="AI18" i="1" s="1"/>
  <c r="AI19" i="1" a="1"/>
  <c r="AI19" i="1" s="1"/>
  <c r="AI20" i="1" a="1"/>
  <c r="AI20" i="1" s="1"/>
  <c r="AI21" i="1" a="1"/>
  <c r="AI21" i="1" s="1"/>
  <c r="AI22" i="1" a="1"/>
  <c r="AI22" i="1" s="1"/>
  <c r="AI23" i="1" a="1"/>
  <c r="AI23" i="1" s="1"/>
  <c r="AI24" i="1" a="1"/>
  <c r="AI24" i="1" s="1"/>
  <c r="AI25" i="1" a="1"/>
  <c r="AI25" i="1" s="1"/>
  <c r="AI26" i="1" a="1"/>
  <c r="AI26" i="1" s="1"/>
  <c r="AI27" i="1" a="1"/>
  <c r="AI27" i="1" s="1"/>
  <c r="AI28" i="1" a="1"/>
  <c r="AI28" i="1" s="1"/>
  <c r="AI29" i="1" a="1"/>
  <c r="AI29" i="1" s="1"/>
  <c r="AI30" i="1" a="1"/>
  <c r="AI30" i="1" s="1"/>
  <c r="AI31" i="1" a="1"/>
  <c r="AI31" i="1" s="1"/>
  <c r="AI32" i="1" a="1"/>
  <c r="AI32" i="1" s="1"/>
  <c r="AI33" i="1" a="1"/>
  <c r="AI33" i="1" s="1"/>
  <c r="AI34" i="1" a="1"/>
  <c r="AI34" i="1" s="1"/>
  <c r="AI35" i="1" a="1"/>
  <c r="AI35" i="1" s="1"/>
  <c r="AI36" i="1" a="1"/>
  <c r="AI36" i="1" s="1"/>
  <c r="AI37" i="1" a="1"/>
  <c r="AI37" i="1" s="1"/>
  <c r="AI38" i="1" a="1"/>
  <c r="AI38" i="1" s="1"/>
  <c r="AI39" i="1" a="1"/>
  <c r="AI39" i="1" s="1"/>
  <c r="AI40" i="1" a="1"/>
  <c r="AI40" i="1" s="1"/>
  <c r="AI41" i="1" a="1"/>
  <c r="AI41" i="1" s="1"/>
  <c r="AI42" i="1" a="1"/>
  <c r="AI42" i="1" s="1"/>
  <c r="AI43" i="1" a="1"/>
  <c r="AI43" i="1" s="1"/>
  <c r="AI44" i="1" a="1"/>
  <c r="AI44" i="1" s="1"/>
  <c r="AI45" i="1" a="1"/>
  <c r="AI45" i="1" s="1"/>
  <c r="AI46" i="1" a="1"/>
  <c r="AI46" i="1" s="1"/>
  <c r="AI47" i="1" a="1"/>
  <c r="AI47" i="1" s="1"/>
  <c r="AI48" i="1" a="1"/>
  <c r="AI48" i="1" s="1"/>
  <c r="AI49" i="1" a="1"/>
  <c r="AI49" i="1" s="1"/>
  <c r="AI50" i="1" a="1"/>
  <c r="AI50" i="1" s="1"/>
  <c r="AI51" i="1" a="1"/>
  <c r="AI51" i="1" s="1"/>
  <c r="AI52" i="1" a="1"/>
  <c r="AI52" i="1" s="1"/>
  <c r="AI53" i="1" a="1"/>
  <c r="AI53" i="1" s="1"/>
  <c r="AI54" i="1" a="1"/>
  <c r="AI54" i="1" s="1"/>
  <c r="AI55" i="1" a="1"/>
  <c r="AI55" i="1" s="1"/>
  <c r="AI56" i="1" a="1"/>
  <c r="AI56" i="1" s="1"/>
  <c r="AI57" i="1" a="1"/>
  <c r="AI57" i="1" s="1"/>
  <c r="AI58" i="1" a="1"/>
  <c r="AI58" i="1" s="1"/>
  <c r="AI59" i="1" a="1"/>
  <c r="AI59" i="1" s="1"/>
  <c r="AI60" i="1" a="1"/>
  <c r="AI60" i="1" s="1"/>
  <c r="AI61" i="1" a="1"/>
  <c r="AI61" i="1" s="1"/>
  <c r="AI62" i="1" a="1"/>
  <c r="AI62" i="1" s="1"/>
  <c r="AI63" i="1" a="1"/>
  <c r="AI63" i="1" s="1"/>
  <c r="AI64" i="1" a="1"/>
  <c r="AI64" i="1" s="1"/>
  <c r="AI65" i="1" a="1"/>
  <c r="AI65" i="1" s="1"/>
  <c r="AI66" i="1" a="1"/>
  <c r="AI66" i="1" s="1"/>
  <c r="AI67" i="1" a="1"/>
  <c r="AI67" i="1" s="1"/>
  <c r="AI68" i="1" a="1"/>
  <c r="AI68" i="1" s="1"/>
  <c r="AI69" i="1" a="1"/>
  <c r="AI69" i="1" s="1"/>
  <c r="AI70" i="1" a="1"/>
  <c r="AI70" i="1" s="1"/>
  <c r="AI71" i="1" a="1"/>
  <c r="AI71" i="1" s="1"/>
  <c r="AI72" i="1" a="1"/>
  <c r="AI72" i="1" s="1"/>
  <c r="AI73" i="1" a="1"/>
  <c r="AI73" i="1" s="1"/>
  <c r="AI74" i="1" a="1"/>
  <c r="AI74" i="1" s="1"/>
  <c r="AI75" i="1" a="1"/>
  <c r="AI75" i="1" s="1"/>
  <c r="AI76" i="1" a="1"/>
  <c r="AI76" i="1" s="1"/>
  <c r="AI77" i="1" a="1"/>
  <c r="AI77" i="1" s="1"/>
  <c r="AI78" i="1" a="1"/>
  <c r="AI78" i="1" s="1"/>
  <c r="AI79" i="1" a="1"/>
  <c r="AI79" i="1" s="1"/>
  <c r="AI80" i="1" a="1"/>
  <c r="AI80" i="1" s="1"/>
  <c r="AI81" i="1" a="1"/>
  <c r="AI81" i="1" s="1"/>
  <c r="AI82" i="1" a="1"/>
  <c r="AI82" i="1" s="1"/>
  <c r="AI83" i="1" a="1"/>
  <c r="AI83" i="1" s="1"/>
  <c r="AI84" i="1" a="1"/>
  <c r="AI84" i="1" s="1"/>
  <c r="AI85" i="1" a="1"/>
  <c r="AI85" i="1" s="1"/>
  <c r="AI86" i="1" a="1"/>
  <c r="AI86" i="1" s="1"/>
  <c r="AI87" i="1" a="1"/>
  <c r="AI87" i="1" s="1"/>
  <c r="AI88" i="1" a="1"/>
  <c r="AI88" i="1" s="1"/>
  <c r="AI89" i="1" a="1"/>
  <c r="AI89" i="1" s="1"/>
  <c r="AI90" i="1" a="1"/>
  <c r="AI90" i="1" s="1"/>
  <c r="AI91" i="1" a="1"/>
  <c r="AI91" i="1" s="1"/>
  <c r="AI92" i="1" a="1"/>
  <c r="AI92" i="1" s="1"/>
  <c r="AI93" i="1" a="1"/>
  <c r="AI93" i="1" s="1"/>
  <c r="AI94" i="1" a="1"/>
  <c r="AI94" i="1" s="1"/>
  <c r="AI95" i="1" a="1"/>
  <c r="AI95" i="1" s="1"/>
  <c r="AI96" i="1" a="1"/>
  <c r="AI96" i="1" s="1"/>
  <c r="AI97" i="1" a="1"/>
  <c r="AI97" i="1" s="1"/>
  <c r="AI98" i="1" a="1"/>
  <c r="AI98" i="1" s="1"/>
  <c r="AI99" i="1" a="1"/>
  <c r="AI99" i="1" s="1"/>
  <c r="AI100" i="1" a="1"/>
  <c r="AI100" i="1" s="1"/>
  <c r="AI101" i="1" a="1"/>
  <c r="AI101" i="1" s="1"/>
  <c r="AL3" i="1" a="1"/>
  <c r="AL3" i="1" s="1"/>
  <c r="AL4" i="1" a="1"/>
  <c r="AL4" i="1" s="1"/>
  <c r="AL5" i="1" a="1"/>
  <c r="AL5" i="1" s="1"/>
  <c r="AL6" i="1" a="1"/>
  <c r="AL6" i="1" s="1"/>
  <c r="AL7" i="1" a="1"/>
  <c r="AL7" i="1" s="1"/>
  <c r="AL8" i="1" a="1"/>
  <c r="AL8" i="1" s="1"/>
  <c r="AL9" i="1" a="1"/>
  <c r="AL9" i="1" s="1"/>
  <c r="AL10" i="1" a="1"/>
  <c r="AL10" i="1" s="1"/>
  <c r="AL11" i="1" a="1"/>
  <c r="AL11" i="1" s="1"/>
  <c r="AL12" i="1" a="1"/>
  <c r="AL12" i="1" s="1"/>
  <c r="AL13" i="1" a="1"/>
  <c r="AL13" i="1" s="1"/>
  <c r="AL14" i="1" a="1"/>
  <c r="AL14" i="1" s="1"/>
  <c r="AL15" i="1" a="1"/>
  <c r="AL15" i="1" s="1"/>
  <c r="AL16" i="1" a="1"/>
  <c r="AL16" i="1" s="1"/>
  <c r="AL17" i="1" a="1"/>
  <c r="AL17" i="1" s="1"/>
  <c r="AL18" i="1" a="1"/>
  <c r="AL18" i="1" s="1"/>
  <c r="AL19" i="1" a="1"/>
  <c r="AL19" i="1" s="1"/>
  <c r="AL20" i="1" a="1"/>
  <c r="AL20" i="1" s="1"/>
  <c r="AL21" i="1" a="1"/>
  <c r="AL21" i="1" s="1"/>
  <c r="AL22" i="1" a="1"/>
  <c r="AL22" i="1" s="1"/>
  <c r="AL23" i="1" a="1"/>
  <c r="AL23" i="1" s="1"/>
  <c r="AL24" i="1" a="1"/>
  <c r="AL24" i="1" s="1"/>
  <c r="AL25" i="1" a="1"/>
  <c r="AL25" i="1" s="1"/>
  <c r="AL26" i="1" a="1"/>
  <c r="AL26" i="1" s="1"/>
  <c r="AL27" i="1" a="1"/>
  <c r="AL27" i="1" s="1"/>
  <c r="AL28" i="1" a="1"/>
  <c r="AL28" i="1" s="1"/>
  <c r="AL29" i="1" a="1"/>
  <c r="AL29" i="1" s="1"/>
  <c r="AL30" i="1" a="1"/>
  <c r="AL30" i="1" s="1"/>
  <c r="AL31" i="1" a="1"/>
  <c r="AL31" i="1" s="1"/>
  <c r="AL32" i="1" a="1"/>
  <c r="AL32" i="1" s="1"/>
  <c r="AL33" i="1" a="1"/>
  <c r="AL33" i="1" s="1"/>
  <c r="AL34" i="1" a="1"/>
  <c r="AL34" i="1" s="1"/>
  <c r="AL35" i="1" a="1"/>
  <c r="AL35" i="1" s="1"/>
  <c r="AL36" i="1" a="1"/>
  <c r="AL36" i="1" s="1"/>
  <c r="AL37" i="1" a="1"/>
  <c r="AL37" i="1" s="1"/>
  <c r="AL38" i="1" a="1"/>
  <c r="AL38" i="1" s="1"/>
  <c r="AL39" i="1" a="1"/>
  <c r="AL39" i="1" s="1"/>
  <c r="AL40" i="1" a="1"/>
  <c r="AL40" i="1" s="1"/>
  <c r="AL41" i="1" a="1"/>
  <c r="AL41" i="1" s="1"/>
  <c r="AL42" i="1" a="1"/>
  <c r="AL42" i="1" s="1"/>
  <c r="AL43" i="1" a="1"/>
  <c r="AL43" i="1" s="1"/>
  <c r="AL44" i="1" a="1"/>
  <c r="AL44" i="1" s="1"/>
  <c r="AL45" i="1" a="1"/>
  <c r="AL45" i="1" s="1"/>
  <c r="AL46" i="1" a="1"/>
  <c r="AL46" i="1" s="1"/>
  <c r="AL47" i="1" a="1"/>
  <c r="AL47" i="1" s="1"/>
  <c r="AL48" i="1" a="1"/>
  <c r="AL48" i="1" s="1"/>
  <c r="AL49" i="1" a="1"/>
  <c r="AL49" i="1" s="1"/>
  <c r="AL50" i="1" a="1"/>
  <c r="AL50" i="1" s="1"/>
  <c r="AL51" i="1" a="1"/>
  <c r="AL51" i="1" s="1"/>
  <c r="AL52" i="1" a="1"/>
  <c r="AL52" i="1" s="1"/>
  <c r="AL53" i="1" a="1"/>
  <c r="AL53" i="1" s="1"/>
  <c r="AL54" i="1" a="1"/>
  <c r="AL54" i="1" s="1"/>
  <c r="AL55" i="1" a="1"/>
  <c r="AL55" i="1" s="1"/>
  <c r="AL56" i="1" a="1"/>
  <c r="AL56" i="1" s="1"/>
  <c r="AL57" i="1" a="1"/>
  <c r="AL57" i="1" s="1"/>
  <c r="AL58" i="1" a="1"/>
  <c r="AL58" i="1" s="1"/>
  <c r="AL59" i="1" a="1"/>
  <c r="AL59" i="1" s="1"/>
  <c r="AL60" i="1" a="1"/>
  <c r="AL60" i="1" s="1"/>
  <c r="AL61" i="1" a="1"/>
  <c r="AL61" i="1" s="1"/>
  <c r="AL62" i="1" a="1"/>
  <c r="AL62" i="1" s="1"/>
  <c r="AL63" i="1" a="1"/>
  <c r="AL63" i="1" s="1"/>
  <c r="AL64" i="1" a="1"/>
  <c r="AL64" i="1" s="1"/>
  <c r="AL65" i="1" a="1"/>
  <c r="AL65" i="1" s="1"/>
  <c r="AL66" i="1" a="1"/>
  <c r="AL66" i="1" s="1"/>
  <c r="AL67" i="1" a="1"/>
  <c r="AL67" i="1" s="1"/>
  <c r="AL68" i="1" a="1"/>
  <c r="AL68" i="1" s="1"/>
  <c r="AL69" i="1" a="1"/>
  <c r="AL69" i="1" s="1"/>
  <c r="AL70" i="1" a="1"/>
  <c r="AL70" i="1" s="1"/>
  <c r="AL71" i="1" a="1"/>
  <c r="AL71" i="1" s="1"/>
  <c r="AL72" i="1" a="1"/>
  <c r="AL72" i="1" s="1"/>
  <c r="AL73" i="1" a="1"/>
  <c r="AL73" i="1" s="1"/>
  <c r="AL74" i="1" a="1"/>
  <c r="AL74" i="1" s="1"/>
  <c r="AL75" i="1" a="1"/>
  <c r="AL75" i="1" s="1"/>
  <c r="AL76" i="1" a="1"/>
  <c r="AL76" i="1" s="1"/>
  <c r="AL77" i="1" a="1"/>
  <c r="AL77" i="1" s="1"/>
  <c r="AL78" i="1" a="1"/>
  <c r="AL78" i="1" s="1"/>
  <c r="AL79" i="1" a="1"/>
  <c r="AL79" i="1" s="1"/>
  <c r="AL80" i="1" a="1"/>
  <c r="AL80" i="1" s="1"/>
  <c r="AL81" i="1" a="1"/>
  <c r="AL81" i="1" s="1"/>
  <c r="AL82" i="1" a="1"/>
  <c r="AL82" i="1" s="1"/>
  <c r="AL83" i="1" a="1"/>
  <c r="AL83" i="1" s="1"/>
  <c r="AL84" i="1" a="1"/>
  <c r="AL84" i="1" s="1"/>
  <c r="AL85" i="1" a="1"/>
  <c r="AL85" i="1" s="1"/>
  <c r="AL86" i="1" a="1"/>
  <c r="AL86" i="1" s="1"/>
  <c r="AL87" i="1" a="1"/>
  <c r="AL87" i="1" s="1"/>
  <c r="AL88" i="1" a="1"/>
  <c r="AL88" i="1" s="1"/>
  <c r="AL89" i="1" a="1"/>
  <c r="AL89" i="1" s="1"/>
  <c r="AL90" i="1" a="1"/>
  <c r="AL90" i="1" s="1"/>
  <c r="AL91" i="1" a="1"/>
  <c r="AL91" i="1" s="1"/>
  <c r="AL92" i="1" a="1"/>
  <c r="AL92" i="1" s="1"/>
  <c r="AL93" i="1" a="1"/>
  <c r="AL93" i="1" s="1"/>
  <c r="AL94" i="1" a="1"/>
  <c r="AL94" i="1" s="1"/>
  <c r="AL95" i="1" a="1"/>
  <c r="AL95" i="1" s="1"/>
  <c r="AL96" i="1" a="1"/>
  <c r="AL96" i="1" s="1"/>
  <c r="AL97" i="1" a="1"/>
  <c r="AL97" i="1" s="1"/>
  <c r="AL98" i="1" a="1"/>
  <c r="AL98" i="1" s="1"/>
  <c r="AL99" i="1" a="1"/>
  <c r="AL99" i="1" s="1"/>
  <c r="AL100" i="1" a="1"/>
  <c r="AL100" i="1" s="1"/>
  <c r="AL101" i="1" a="1"/>
  <c r="AL101" i="1" s="1"/>
  <c r="AK3" i="1" a="1"/>
  <c r="AK3" i="1" s="1"/>
  <c r="AK4" i="1" a="1"/>
  <c r="AK4" i="1" s="1"/>
  <c r="AK5" i="1" a="1"/>
  <c r="AK5" i="1" s="1"/>
  <c r="AK6" i="1" a="1"/>
  <c r="AK6" i="1" s="1"/>
  <c r="AK7" i="1" a="1"/>
  <c r="AK7" i="1" s="1"/>
  <c r="AK8" i="1" a="1"/>
  <c r="AK8" i="1" s="1"/>
  <c r="AK9" i="1" a="1"/>
  <c r="AK9" i="1" s="1"/>
  <c r="AK10" i="1" a="1"/>
  <c r="AK10" i="1" s="1"/>
  <c r="AK11" i="1" a="1"/>
  <c r="AK11" i="1" s="1"/>
  <c r="AK12" i="1" a="1"/>
  <c r="AK12" i="1" s="1"/>
  <c r="AK13" i="1" a="1"/>
  <c r="AK13" i="1" s="1"/>
  <c r="AK14" i="1" a="1"/>
  <c r="AK14" i="1" s="1"/>
  <c r="AK15" i="1" a="1"/>
  <c r="AK15" i="1" s="1"/>
  <c r="AK16" i="1" a="1"/>
  <c r="AK16" i="1" s="1"/>
  <c r="AK17" i="1" a="1"/>
  <c r="AK17" i="1" s="1"/>
  <c r="AK18" i="1" a="1"/>
  <c r="AK18" i="1" s="1"/>
  <c r="AK19" i="1" a="1"/>
  <c r="AK19" i="1" s="1"/>
  <c r="AK20" i="1" a="1"/>
  <c r="AK20" i="1" s="1"/>
  <c r="AK21" i="1" a="1"/>
  <c r="AK21" i="1" s="1"/>
  <c r="AK22" i="1" a="1"/>
  <c r="AK22" i="1" s="1"/>
  <c r="AK23" i="1" a="1"/>
  <c r="AK23" i="1" s="1"/>
  <c r="AK24" i="1" a="1"/>
  <c r="AK24" i="1" s="1"/>
  <c r="AK25" i="1" a="1"/>
  <c r="AK25" i="1" s="1"/>
  <c r="AK26" i="1" a="1"/>
  <c r="AK26" i="1" s="1"/>
  <c r="AK27" i="1" a="1"/>
  <c r="AK27" i="1" s="1"/>
  <c r="AK28" i="1" a="1"/>
  <c r="AK28" i="1" s="1"/>
  <c r="AK29" i="1" a="1"/>
  <c r="AK29" i="1" s="1"/>
  <c r="AK30" i="1" a="1"/>
  <c r="AK30" i="1" s="1"/>
  <c r="AK31" i="1" a="1"/>
  <c r="AK31" i="1" s="1"/>
  <c r="AK32" i="1" a="1"/>
  <c r="AK32" i="1" s="1"/>
  <c r="AK33" i="1" a="1"/>
  <c r="AK33" i="1" s="1"/>
  <c r="AK34" i="1" a="1"/>
  <c r="AK34" i="1" s="1"/>
  <c r="AK35" i="1" a="1"/>
  <c r="AK35" i="1" s="1"/>
  <c r="AK36" i="1" a="1"/>
  <c r="AK36" i="1" s="1"/>
  <c r="AK37" i="1" a="1"/>
  <c r="AK37" i="1" s="1"/>
  <c r="AK38" i="1" a="1"/>
  <c r="AK38" i="1" s="1"/>
  <c r="AK39" i="1" a="1"/>
  <c r="AK39" i="1" s="1"/>
  <c r="AK40" i="1" a="1"/>
  <c r="AK40" i="1" s="1"/>
  <c r="AK41" i="1" a="1"/>
  <c r="AK41" i="1" s="1"/>
  <c r="AK42" i="1" a="1"/>
  <c r="AK42" i="1" s="1"/>
  <c r="AK43" i="1" a="1"/>
  <c r="AK43" i="1" s="1"/>
  <c r="AK44" i="1" a="1"/>
  <c r="AK44" i="1" s="1"/>
  <c r="AK45" i="1" a="1"/>
  <c r="AK45" i="1" s="1"/>
  <c r="AK46" i="1" a="1"/>
  <c r="AK46" i="1" s="1"/>
  <c r="AK47" i="1" a="1"/>
  <c r="AK47" i="1" s="1"/>
  <c r="AK48" i="1" a="1"/>
  <c r="AK48" i="1" s="1"/>
  <c r="AK49" i="1" a="1"/>
  <c r="AK49" i="1" s="1"/>
  <c r="AK50" i="1" a="1"/>
  <c r="AK50" i="1" s="1"/>
  <c r="AK51" i="1" a="1"/>
  <c r="AK51" i="1" s="1"/>
  <c r="AK52" i="1" a="1"/>
  <c r="AK52" i="1" s="1"/>
  <c r="AK53" i="1" a="1"/>
  <c r="AK53" i="1" s="1"/>
  <c r="AK54" i="1" a="1"/>
  <c r="AK54" i="1" s="1"/>
  <c r="AK55" i="1" a="1"/>
  <c r="AK55" i="1" s="1"/>
  <c r="AK56" i="1" a="1"/>
  <c r="AK56" i="1" s="1"/>
  <c r="AK57" i="1" a="1"/>
  <c r="AK57" i="1" s="1"/>
  <c r="AK58" i="1" a="1"/>
  <c r="AK58" i="1" s="1"/>
  <c r="AK59" i="1" a="1"/>
  <c r="AK59" i="1" s="1"/>
  <c r="AK60" i="1" a="1"/>
  <c r="AK60" i="1" s="1"/>
  <c r="AK61" i="1" a="1"/>
  <c r="AK61" i="1" s="1"/>
  <c r="AK62" i="1" a="1"/>
  <c r="AK62" i="1" s="1"/>
  <c r="AK63" i="1" a="1"/>
  <c r="AK63" i="1" s="1"/>
  <c r="AK64" i="1" a="1"/>
  <c r="AK64" i="1" s="1"/>
  <c r="AK65" i="1" a="1"/>
  <c r="AK65" i="1" s="1"/>
  <c r="AK66" i="1" a="1"/>
  <c r="AK66" i="1" s="1"/>
  <c r="AK67" i="1" a="1"/>
  <c r="AK67" i="1" s="1"/>
  <c r="AK68" i="1" a="1"/>
  <c r="AK68" i="1" s="1"/>
  <c r="AK69" i="1" a="1"/>
  <c r="AK69" i="1" s="1"/>
  <c r="AK70" i="1" a="1"/>
  <c r="AK70" i="1" s="1"/>
  <c r="AK71" i="1" a="1"/>
  <c r="AK71" i="1" s="1"/>
  <c r="AK72" i="1" a="1"/>
  <c r="AK72" i="1" s="1"/>
  <c r="AK73" i="1" a="1"/>
  <c r="AK73" i="1" s="1"/>
  <c r="AK74" i="1" a="1"/>
  <c r="AK74" i="1" s="1"/>
  <c r="AK75" i="1" a="1"/>
  <c r="AK75" i="1" s="1"/>
  <c r="AK76" i="1" a="1"/>
  <c r="AK76" i="1" s="1"/>
  <c r="AK77" i="1" a="1"/>
  <c r="AK77" i="1" s="1"/>
  <c r="AK78" i="1" a="1"/>
  <c r="AK78" i="1" s="1"/>
  <c r="AK79" i="1" a="1"/>
  <c r="AK79" i="1" s="1"/>
  <c r="AK80" i="1" a="1"/>
  <c r="AK80" i="1" s="1"/>
  <c r="AK81" i="1" a="1"/>
  <c r="AK81" i="1" s="1"/>
  <c r="AK82" i="1" a="1"/>
  <c r="AK82" i="1" s="1"/>
  <c r="AK83" i="1" a="1"/>
  <c r="AK83" i="1" s="1"/>
  <c r="AK84" i="1" a="1"/>
  <c r="AK84" i="1" s="1"/>
  <c r="AK85" i="1" a="1"/>
  <c r="AK85" i="1" s="1"/>
  <c r="AK86" i="1" a="1"/>
  <c r="AK86" i="1" s="1"/>
  <c r="AK87" i="1" a="1"/>
  <c r="AK87" i="1" s="1"/>
  <c r="AK88" i="1" a="1"/>
  <c r="AK88" i="1" s="1"/>
  <c r="AK89" i="1" a="1"/>
  <c r="AK89" i="1" s="1"/>
  <c r="AK90" i="1" a="1"/>
  <c r="AK90" i="1" s="1"/>
  <c r="AK91" i="1" a="1"/>
  <c r="AK91" i="1" s="1"/>
  <c r="AK92" i="1" a="1"/>
  <c r="AK92" i="1" s="1"/>
  <c r="AK93" i="1" a="1"/>
  <c r="AK93" i="1" s="1"/>
  <c r="AK94" i="1" a="1"/>
  <c r="AK94" i="1" s="1"/>
  <c r="AK95" i="1" a="1"/>
  <c r="AK95" i="1" s="1"/>
  <c r="AK96" i="1" a="1"/>
  <c r="AK96" i="1" s="1"/>
  <c r="AK97" i="1" a="1"/>
  <c r="AK97" i="1" s="1"/>
  <c r="AK98" i="1" a="1"/>
  <c r="AK98" i="1" s="1"/>
  <c r="AK99" i="1" a="1"/>
  <c r="AK99" i="1" s="1"/>
  <c r="AK100" i="1" a="1"/>
  <c r="AK100" i="1" s="1"/>
  <c r="AK101" i="1" a="1"/>
  <c r="AK101" i="1" s="1"/>
  <c r="AJ3" i="1" a="1"/>
  <c r="AJ3" i="1" s="1"/>
  <c r="AJ4" i="1" a="1"/>
  <c r="AJ4" i="1" s="1"/>
  <c r="AJ5" i="1" a="1"/>
  <c r="AJ5" i="1" s="1"/>
  <c r="AJ6" i="1" a="1"/>
  <c r="AJ6" i="1" s="1"/>
  <c r="AJ7" i="1" a="1"/>
  <c r="AJ7" i="1" s="1"/>
  <c r="AJ8" i="1" a="1"/>
  <c r="AJ8" i="1" s="1"/>
  <c r="AJ9" i="1" a="1"/>
  <c r="AJ9" i="1" s="1"/>
  <c r="AJ10" i="1" a="1"/>
  <c r="AJ10" i="1" s="1"/>
  <c r="AJ11" i="1" a="1"/>
  <c r="AJ11" i="1" s="1"/>
  <c r="AJ12" i="1" a="1"/>
  <c r="AJ12" i="1" s="1"/>
  <c r="AJ13" i="1" a="1"/>
  <c r="AJ13" i="1" s="1"/>
  <c r="AJ14" i="1" a="1"/>
  <c r="AJ14" i="1" s="1"/>
  <c r="AJ15" i="1" a="1"/>
  <c r="AJ15" i="1" s="1"/>
  <c r="AJ16" i="1" a="1"/>
  <c r="AJ16" i="1" s="1"/>
  <c r="AJ17" i="1" a="1"/>
  <c r="AJ17" i="1" s="1"/>
  <c r="AJ18" i="1" a="1"/>
  <c r="AJ18" i="1" s="1"/>
  <c r="AJ19" i="1" a="1"/>
  <c r="AJ19" i="1" s="1"/>
  <c r="AJ20" i="1" a="1"/>
  <c r="AJ20" i="1" s="1"/>
  <c r="AJ21" i="1" a="1"/>
  <c r="AJ21" i="1" s="1"/>
  <c r="AJ22" i="1" a="1"/>
  <c r="AJ22" i="1" s="1"/>
  <c r="AJ23" i="1" a="1"/>
  <c r="AJ23" i="1" s="1"/>
  <c r="AJ24" i="1" a="1"/>
  <c r="AJ24" i="1" s="1"/>
  <c r="AJ25" i="1" a="1"/>
  <c r="AJ25" i="1" s="1"/>
  <c r="AJ26" i="1" a="1"/>
  <c r="AJ26" i="1" s="1"/>
  <c r="AJ27" i="1" a="1"/>
  <c r="AJ27" i="1" s="1"/>
  <c r="AJ28" i="1" a="1"/>
  <c r="AJ28" i="1" s="1"/>
  <c r="AJ29" i="1" a="1"/>
  <c r="AJ29" i="1" s="1"/>
  <c r="AJ30" i="1" a="1"/>
  <c r="AJ30" i="1" s="1"/>
  <c r="AJ31" i="1" a="1"/>
  <c r="AJ31" i="1" s="1"/>
  <c r="AJ32" i="1" a="1"/>
  <c r="AJ32" i="1" s="1"/>
  <c r="AJ33" i="1" a="1"/>
  <c r="AJ33" i="1" s="1"/>
  <c r="AJ34" i="1" a="1"/>
  <c r="AJ34" i="1" s="1"/>
  <c r="AJ35" i="1" a="1"/>
  <c r="AJ35" i="1" s="1"/>
  <c r="AJ36" i="1" a="1"/>
  <c r="AJ36" i="1" s="1"/>
  <c r="AJ37" i="1" a="1"/>
  <c r="AJ37" i="1" s="1"/>
  <c r="AJ38" i="1" a="1"/>
  <c r="AJ38" i="1" s="1"/>
  <c r="AJ39" i="1" a="1"/>
  <c r="AJ39" i="1" s="1"/>
  <c r="AJ40" i="1" a="1"/>
  <c r="AJ40" i="1" s="1"/>
  <c r="AJ41" i="1" a="1"/>
  <c r="AJ41" i="1" s="1"/>
  <c r="AJ42" i="1" a="1"/>
  <c r="AJ42" i="1" s="1"/>
  <c r="AJ43" i="1" a="1"/>
  <c r="AJ43" i="1" s="1"/>
  <c r="AJ44" i="1" a="1"/>
  <c r="AJ44" i="1" s="1"/>
  <c r="AJ45" i="1" a="1"/>
  <c r="AJ45" i="1" s="1"/>
  <c r="AJ46" i="1" a="1"/>
  <c r="AJ46" i="1" s="1"/>
  <c r="AJ47" i="1" a="1"/>
  <c r="AJ47" i="1" s="1"/>
  <c r="AJ48" i="1" a="1"/>
  <c r="AJ48" i="1" s="1"/>
  <c r="AJ49" i="1" a="1"/>
  <c r="AJ49" i="1" s="1"/>
  <c r="AJ50" i="1" a="1"/>
  <c r="AJ50" i="1" s="1"/>
  <c r="AJ51" i="1" a="1"/>
  <c r="AJ51" i="1" s="1"/>
  <c r="AJ52" i="1" a="1"/>
  <c r="AJ52" i="1" s="1"/>
  <c r="AJ53" i="1" a="1"/>
  <c r="AJ53" i="1" s="1"/>
  <c r="AJ54" i="1" a="1"/>
  <c r="AJ54" i="1" s="1"/>
  <c r="AJ55" i="1" a="1"/>
  <c r="AJ55" i="1" s="1"/>
  <c r="AJ56" i="1" a="1"/>
  <c r="AJ56" i="1" s="1"/>
  <c r="AJ57" i="1" a="1"/>
  <c r="AJ57" i="1" s="1"/>
  <c r="AJ58" i="1" a="1"/>
  <c r="AJ58" i="1" s="1"/>
  <c r="AJ59" i="1" a="1"/>
  <c r="AJ59" i="1" s="1"/>
  <c r="AJ60" i="1" a="1"/>
  <c r="AJ60" i="1" s="1"/>
  <c r="AJ61" i="1" a="1"/>
  <c r="AJ61" i="1" s="1"/>
  <c r="AJ62" i="1" a="1"/>
  <c r="AJ62" i="1" s="1"/>
  <c r="AJ63" i="1" a="1"/>
  <c r="AJ63" i="1" s="1"/>
  <c r="AJ64" i="1" a="1"/>
  <c r="AJ64" i="1" s="1"/>
  <c r="AJ65" i="1" a="1"/>
  <c r="AJ65" i="1" s="1"/>
  <c r="AJ66" i="1" a="1"/>
  <c r="AJ66" i="1" s="1"/>
  <c r="AJ67" i="1" a="1"/>
  <c r="AJ67" i="1" s="1"/>
  <c r="AJ68" i="1" a="1"/>
  <c r="AJ68" i="1" s="1"/>
  <c r="AJ69" i="1" a="1"/>
  <c r="AJ69" i="1" s="1"/>
  <c r="AJ70" i="1" a="1"/>
  <c r="AJ70" i="1" s="1"/>
  <c r="AJ71" i="1" a="1"/>
  <c r="AJ71" i="1" s="1"/>
  <c r="AJ72" i="1" a="1"/>
  <c r="AJ72" i="1" s="1"/>
  <c r="AJ73" i="1" a="1"/>
  <c r="AJ73" i="1" s="1"/>
  <c r="AJ74" i="1" a="1"/>
  <c r="AJ74" i="1" s="1"/>
  <c r="AJ75" i="1" a="1"/>
  <c r="AJ75" i="1" s="1"/>
  <c r="AJ76" i="1" a="1"/>
  <c r="AJ76" i="1" s="1"/>
  <c r="AJ77" i="1" a="1"/>
  <c r="AJ77" i="1" s="1"/>
  <c r="AJ78" i="1" a="1"/>
  <c r="AJ78" i="1" s="1"/>
  <c r="AJ79" i="1" a="1"/>
  <c r="AJ79" i="1" s="1"/>
  <c r="AJ80" i="1" a="1"/>
  <c r="AJ80" i="1" s="1"/>
  <c r="AJ81" i="1" a="1"/>
  <c r="AJ81" i="1" s="1"/>
  <c r="AJ82" i="1" a="1"/>
  <c r="AJ82" i="1" s="1"/>
  <c r="AJ83" i="1" a="1"/>
  <c r="AJ83" i="1" s="1"/>
  <c r="AJ84" i="1" a="1"/>
  <c r="AJ84" i="1" s="1"/>
  <c r="AJ85" i="1" a="1"/>
  <c r="AJ85" i="1" s="1"/>
  <c r="AJ86" i="1" a="1"/>
  <c r="AJ86" i="1" s="1"/>
  <c r="AJ87" i="1" a="1"/>
  <c r="AJ87" i="1" s="1"/>
  <c r="AJ88" i="1" a="1"/>
  <c r="AJ88" i="1" s="1"/>
  <c r="AJ89" i="1" a="1"/>
  <c r="AJ89" i="1" s="1"/>
  <c r="AJ90" i="1" a="1"/>
  <c r="AJ90" i="1" s="1"/>
  <c r="AJ91" i="1" a="1"/>
  <c r="AJ91" i="1" s="1"/>
  <c r="AJ92" i="1" a="1"/>
  <c r="AJ92" i="1" s="1"/>
  <c r="AJ93" i="1" a="1"/>
  <c r="AJ93" i="1" s="1"/>
  <c r="AJ94" i="1" a="1"/>
  <c r="AJ94" i="1" s="1"/>
  <c r="AJ95" i="1" a="1"/>
  <c r="AJ95" i="1" s="1"/>
  <c r="AJ96" i="1" a="1"/>
  <c r="AJ96" i="1" s="1"/>
  <c r="AJ97" i="1" a="1"/>
  <c r="AJ97" i="1" s="1"/>
  <c r="AJ98" i="1" a="1"/>
  <c r="AJ98" i="1" s="1"/>
  <c r="AJ99" i="1" a="1"/>
  <c r="AJ99" i="1" s="1"/>
  <c r="AJ100" i="1" a="1"/>
  <c r="AJ100" i="1" s="1"/>
  <c r="AJ101" i="1" a="1"/>
  <c r="AJ101" i="1" s="1"/>
  <c r="AE3" i="1" a="1"/>
  <c r="AE3" i="1" s="1"/>
  <c r="AE4" i="1" a="1"/>
  <c r="AE4" i="1" s="1"/>
  <c r="AE5" i="1" a="1"/>
  <c r="AE5" i="1" s="1"/>
  <c r="AE6" i="1" a="1"/>
  <c r="AE6" i="1" s="1"/>
  <c r="AE7" i="1" a="1"/>
  <c r="AE7" i="1" s="1"/>
  <c r="AE8" i="1" a="1"/>
  <c r="AE8" i="1" s="1"/>
  <c r="AE9" i="1" a="1"/>
  <c r="AE9" i="1" s="1"/>
  <c r="AE10" i="1" a="1"/>
  <c r="AE10" i="1" s="1"/>
  <c r="AE11" i="1" a="1"/>
  <c r="AE11" i="1" s="1"/>
  <c r="AE12" i="1" a="1"/>
  <c r="AE12" i="1" s="1"/>
  <c r="AE13" i="1" a="1"/>
  <c r="AE13" i="1" s="1"/>
  <c r="AE14" i="1" a="1"/>
  <c r="AE14" i="1" s="1"/>
  <c r="AE15" i="1" a="1"/>
  <c r="AE15" i="1" s="1"/>
  <c r="AE16" i="1" a="1"/>
  <c r="AE16" i="1" s="1"/>
  <c r="AE17" i="1" a="1"/>
  <c r="AE17" i="1" s="1"/>
  <c r="AE18" i="1" a="1"/>
  <c r="AE18" i="1" s="1"/>
  <c r="AE19" i="1" a="1"/>
  <c r="AE19" i="1" s="1"/>
  <c r="AE20" i="1" a="1"/>
  <c r="AE20" i="1" s="1"/>
  <c r="AE21" i="1" a="1"/>
  <c r="AE21" i="1" s="1"/>
  <c r="AE22" i="1" a="1"/>
  <c r="AE22" i="1" s="1"/>
  <c r="AE23" i="1" a="1"/>
  <c r="AE23" i="1" s="1"/>
  <c r="AE24" i="1" a="1"/>
  <c r="AE24" i="1" s="1"/>
  <c r="AE25" i="1" a="1"/>
  <c r="AE25" i="1" s="1"/>
  <c r="AE26" i="1" a="1"/>
  <c r="AE26" i="1" s="1"/>
  <c r="AE27" i="1" a="1"/>
  <c r="AE27" i="1" s="1"/>
  <c r="AE28" i="1" a="1"/>
  <c r="AE28" i="1" s="1"/>
  <c r="AE29" i="1" a="1"/>
  <c r="AE29" i="1" s="1"/>
  <c r="AE30" i="1" a="1"/>
  <c r="AE30" i="1" s="1"/>
  <c r="AE31" i="1" a="1"/>
  <c r="AE31" i="1" s="1"/>
  <c r="AE32" i="1" a="1"/>
  <c r="AE32" i="1" s="1"/>
  <c r="AE33" i="1" a="1"/>
  <c r="AE33" i="1" s="1"/>
  <c r="AE34" i="1" a="1"/>
  <c r="AE34" i="1" s="1"/>
  <c r="AE35" i="1" a="1"/>
  <c r="AE35" i="1" s="1"/>
  <c r="AE36" i="1" a="1"/>
  <c r="AE36" i="1" s="1"/>
  <c r="AE37" i="1" a="1"/>
  <c r="AE37" i="1" s="1"/>
  <c r="AE38" i="1" a="1"/>
  <c r="AE38" i="1" s="1"/>
  <c r="AE39" i="1" a="1"/>
  <c r="AE39" i="1" s="1"/>
  <c r="AE40" i="1" a="1"/>
  <c r="AE40" i="1" s="1"/>
  <c r="AE41" i="1" a="1"/>
  <c r="AE41" i="1" s="1"/>
  <c r="AE42" i="1" a="1"/>
  <c r="AE42" i="1" s="1"/>
  <c r="AE43" i="1" a="1"/>
  <c r="AE43" i="1" s="1"/>
  <c r="AE44" i="1" a="1"/>
  <c r="AE44" i="1" s="1"/>
  <c r="AE45" i="1" a="1"/>
  <c r="AE45" i="1" s="1"/>
  <c r="AE46" i="1" a="1"/>
  <c r="AE46" i="1" s="1"/>
  <c r="AE47" i="1" a="1"/>
  <c r="AE47" i="1" s="1"/>
  <c r="AE48" i="1" a="1"/>
  <c r="AE48" i="1" s="1"/>
  <c r="AE49" i="1" a="1"/>
  <c r="AE49" i="1" s="1"/>
  <c r="AE50" i="1" a="1"/>
  <c r="AE50" i="1" s="1"/>
  <c r="AE51" i="1" a="1"/>
  <c r="AE51" i="1" s="1"/>
  <c r="AE52" i="1" a="1"/>
  <c r="AE52" i="1" s="1"/>
  <c r="AE53" i="1" a="1"/>
  <c r="AE53" i="1" s="1"/>
  <c r="AE54" i="1" a="1"/>
  <c r="AE54" i="1" s="1"/>
  <c r="AE55" i="1" a="1"/>
  <c r="AE55" i="1" s="1"/>
  <c r="AE56" i="1" a="1"/>
  <c r="AE56" i="1" s="1"/>
  <c r="AE57" i="1" a="1"/>
  <c r="AE57" i="1" s="1"/>
  <c r="AE58" i="1" a="1"/>
  <c r="AE58" i="1" s="1"/>
  <c r="AE59" i="1" a="1"/>
  <c r="AE59" i="1" s="1"/>
  <c r="AE60" i="1" a="1"/>
  <c r="AE60" i="1" s="1"/>
  <c r="AE61" i="1" a="1"/>
  <c r="AE61" i="1" s="1"/>
  <c r="AE62" i="1" a="1"/>
  <c r="AE62" i="1" s="1"/>
  <c r="AE63" i="1" a="1"/>
  <c r="AE63" i="1" s="1"/>
  <c r="AE64" i="1" a="1"/>
  <c r="AE64" i="1" s="1"/>
  <c r="AE65" i="1" a="1"/>
  <c r="AE65" i="1" s="1"/>
  <c r="AE66" i="1" a="1"/>
  <c r="AE66" i="1" s="1"/>
  <c r="AE67" i="1" a="1"/>
  <c r="AE67" i="1" s="1"/>
  <c r="AE68" i="1" a="1"/>
  <c r="AE68" i="1" s="1"/>
  <c r="AE69" i="1" a="1"/>
  <c r="AE69" i="1" s="1"/>
  <c r="AE70" i="1" a="1"/>
  <c r="AE70" i="1" s="1"/>
  <c r="AE71" i="1" a="1"/>
  <c r="AE71" i="1" s="1"/>
  <c r="AE72" i="1" a="1"/>
  <c r="AE72" i="1" s="1"/>
  <c r="AE73" i="1" a="1"/>
  <c r="AE73" i="1" s="1"/>
  <c r="AE74" i="1" a="1"/>
  <c r="AE74" i="1" s="1"/>
  <c r="AE75" i="1" a="1"/>
  <c r="AE75" i="1" s="1"/>
  <c r="AE76" i="1" a="1"/>
  <c r="AE76" i="1" s="1"/>
  <c r="AE77" i="1" a="1"/>
  <c r="AE77" i="1" s="1"/>
  <c r="AE78" i="1" a="1"/>
  <c r="AE78" i="1" s="1"/>
  <c r="AE79" i="1" a="1"/>
  <c r="AE79" i="1" s="1"/>
  <c r="AE80" i="1" a="1"/>
  <c r="AE80" i="1" s="1"/>
  <c r="AE81" i="1" a="1"/>
  <c r="AE81" i="1" s="1"/>
  <c r="AE82" i="1" a="1"/>
  <c r="AE82" i="1" s="1"/>
  <c r="AE83" i="1" a="1"/>
  <c r="AE83" i="1" s="1"/>
  <c r="AE84" i="1" a="1"/>
  <c r="AE84" i="1" s="1"/>
  <c r="AE85" i="1" a="1"/>
  <c r="AE85" i="1" s="1"/>
  <c r="AE86" i="1" a="1"/>
  <c r="AE86" i="1" s="1"/>
  <c r="AE87" i="1" a="1"/>
  <c r="AE87" i="1" s="1"/>
  <c r="AE88" i="1" a="1"/>
  <c r="AE88" i="1" s="1"/>
  <c r="AE89" i="1" a="1"/>
  <c r="AE89" i="1" s="1"/>
  <c r="AE90" i="1" a="1"/>
  <c r="AE90" i="1" s="1"/>
  <c r="AE91" i="1" a="1"/>
  <c r="AE91" i="1" s="1"/>
  <c r="AE92" i="1" a="1"/>
  <c r="AE92" i="1" s="1"/>
  <c r="AE93" i="1" a="1"/>
  <c r="AE93" i="1" s="1"/>
  <c r="AE94" i="1" a="1"/>
  <c r="AE94" i="1" s="1"/>
  <c r="AE95" i="1" a="1"/>
  <c r="AE95" i="1" s="1"/>
  <c r="AE96" i="1" a="1"/>
  <c r="AE96" i="1" s="1"/>
  <c r="AE97" i="1" a="1"/>
  <c r="AE97" i="1" s="1"/>
  <c r="AE98" i="1" a="1"/>
  <c r="AE98" i="1" s="1"/>
  <c r="AE99" i="1" a="1"/>
  <c r="AE99" i="1" s="1"/>
  <c r="AE100" i="1" a="1"/>
  <c r="AE100" i="1" s="1"/>
  <c r="AE101" i="1" a="1"/>
  <c r="AE101" i="1" s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N15" i="1"/>
  <c r="N20" i="1"/>
  <c r="N25" i="1"/>
  <c r="N30" i="1"/>
  <c r="N35" i="1"/>
  <c r="N40" i="1"/>
  <c r="N45" i="1"/>
  <c r="N50" i="1"/>
  <c r="N55" i="1"/>
  <c r="N60" i="1"/>
  <c r="N65" i="1"/>
  <c r="N70" i="1"/>
  <c r="N75" i="1"/>
  <c r="N80" i="1"/>
  <c r="N85" i="1"/>
  <c r="N90" i="1"/>
  <c r="N94" i="1"/>
  <c r="N98" i="1"/>
  <c r="N6" i="1"/>
  <c r="N11" i="1"/>
  <c r="N16" i="1"/>
  <c r="N21" i="1"/>
  <c r="N26" i="1"/>
  <c r="N31" i="1"/>
  <c r="N36" i="1"/>
  <c r="N41" i="1"/>
  <c r="N46" i="1"/>
  <c r="N51" i="1"/>
  <c r="N56" i="1"/>
  <c r="N61" i="1"/>
  <c r="N66" i="1"/>
  <c r="N71" i="1"/>
  <c r="N76" i="1"/>
  <c r="N81" i="1"/>
  <c r="N86" i="1"/>
  <c r="N91" i="1"/>
  <c r="N95" i="1"/>
  <c r="N99" i="1"/>
  <c r="N3" i="1"/>
  <c r="N7" i="1"/>
  <c r="N12" i="1"/>
  <c r="N17" i="1"/>
  <c r="N22" i="1"/>
  <c r="N27" i="1"/>
  <c r="N32" i="1"/>
  <c r="N37" i="1"/>
  <c r="N42" i="1"/>
  <c r="N47" i="1"/>
  <c r="N52" i="1"/>
  <c r="N57" i="1"/>
  <c r="N62" i="1"/>
  <c r="N67" i="1"/>
  <c r="N72" i="1"/>
  <c r="N77" i="1"/>
  <c r="N82" i="1"/>
  <c r="N87" i="1"/>
  <c r="N92" i="1"/>
  <c r="N96" i="1"/>
  <c r="N100" i="1"/>
  <c r="N4" i="1"/>
  <c r="N8" i="1"/>
  <c r="N13" i="1"/>
  <c r="N18" i="1"/>
  <c r="N23" i="1"/>
  <c r="N28" i="1"/>
  <c r="N33" i="1"/>
  <c r="N38" i="1"/>
  <c r="N43" i="1"/>
  <c r="N48" i="1"/>
  <c r="N53" i="1"/>
  <c r="N58" i="1"/>
  <c r="N63" i="1"/>
  <c r="N68" i="1"/>
  <c r="N73" i="1"/>
  <c r="N78" i="1"/>
  <c r="N83" i="1"/>
  <c r="N88" i="1"/>
  <c r="N93" i="1"/>
  <c r="N97" i="1"/>
  <c r="N101" i="1"/>
  <c r="N5" i="1"/>
  <c r="N9" i="1"/>
  <c r="N14" i="1"/>
  <c r="N19" i="1"/>
  <c r="N24" i="1"/>
  <c r="N29" i="1"/>
  <c r="N34" i="1"/>
  <c r="N39" i="1"/>
  <c r="N44" i="1"/>
  <c r="N49" i="1"/>
  <c r="N54" i="1"/>
  <c r="N59" i="1"/>
  <c r="N64" i="1"/>
  <c r="N69" i="1"/>
  <c r="N74" i="1"/>
  <c r="N79" i="1"/>
  <c r="N84" i="1"/>
  <c r="N89" i="1"/>
  <c r="N10" i="1"/>
  <c r="M15" i="1"/>
  <c r="M20" i="1"/>
  <c r="M25" i="1"/>
  <c r="M30" i="1"/>
  <c r="M35" i="1"/>
  <c r="M40" i="1"/>
  <c r="M45" i="1"/>
  <c r="M50" i="1"/>
  <c r="M55" i="1"/>
  <c r="M60" i="1"/>
  <c r="M65" i="1"/>
  <c r="M70" i="1"/>
  <c r="M75" i="1"/>
  <c r="M80" i="1"/>
  <c r="M85" i="1"/>
  <c r="M90" i="1"/>
  <c r="M94" i="1"/>
  <c r="M98" i="1"/>
  <c r="M6" i="1"/>
  <c r="M11" i="1"/>
  <c r="M16" i="1"/>
  <c r="M21" i="1"/>
  <c r="M26" i="1"/>
  <c r="M31" i="1"/>
  <c r="M36" i="1"/>
  <c r="M41" i="1"/>
  <c r="M46" i="1"/>
  <c r="M51" i="1"/>
  <c r="M56" i="1"/>
  <c r="M61" i="1"/>
  <c r="M66" i="1"/>
  <c r="M71" i="1"/>
  <c r="M76" i="1"/>
  <c r="M81" i="1"/>
  <c r="M86" i="1"/>
  <c r="M91" i="1"/>
  <c r="M95" i="1"/>
  <c r="M99" i="1"/>
  <c r="M3" i="1"/>
  <c r="M7" i="1"/>
  <c r="M12" i="1"/>
  <c r="M17" i="1"/>
  <c r="M22" i="1"/>
  <c r="M27" i="1"/>
  <c r="M32" i="1"/>
  <c r="M37" i="1"/>
  <c r="M42" i="1"/>
  <c r="M47" i="1"/>
  <c r="M52" i="1"/>
  <c r="M57" i="1"/>
  <c r="M62" i="1"/>
  <c r="M67" i="1"/>
  <c r="M72" i="1"/>
  <c r="M77" i="1"/>
  <c r="M82" i="1"/>
  <c r="M87" i="1"/>
  <c r="M92" i="1"/>
  <c r="M96" i="1"/>
  <c r="M100" i="1"/>
  <c r="M4" i="1"/>
  <c r="M8" i="1"/>
  <c r="M13" i="1"/>
  <c r="M18" i="1"/>
  <c r="M23" i="1"/>
  <c r="M28" i="1"/>
  <c r="M33" i="1"/>
  <c r="M38" i="1"/>
  <c r="M43" i="1"/>
  <c r="M48" i="1"/>
  <c r="M53" i="1"/>
  <c r="M58" i="1"/>
  <c r="M63" i="1"/>
  <c r="M68" i="1"/>
  <c r="M73" i="1"/>
  <c r="M78" i="1"/>
  <c r="M83" i="1"/>
  <c r="M88" i="1"/>
  <c r="M93" i="1"/>
  <c r="M97" i="1"/>
  <c r="M101" i="1"/>
  <c r="M5" i="1"/>
  <c r="M9" i="1"/>
  <c r="M14" i="1"/>
  <c r="M19" i="1"/>
  <c r="M24" i="1"/>
  <c r="M29" i="1"/>
  <c r="M34" i="1"/>
  <c r="M39" i="1"/>
  <c r="M44" i="1"/>
  <c r="M49" i="1"/>
  <c r="M54" i="1"/>
  <c r="M59" i="1"/>
  <c r="M64" i="1"/>
  <c r="M69" i="1"/>
  <c r="M74" i="1"/>
  <c r="M79" i="1"/>
  <c r="M84" i="1"/>
  <c r="M89" i="1"/>
  <c r="M10" i="1"/>
  <c r="L15" i="1"/>
  <c r="L20" i="1"/>
  <c r="L25" i="1"/>
  <c r="L30" i="1"/>
  <c r="L35" i="1"/>
  <c r="L40" i="1"/>
  <c r="L45" i="1"/>
  <c r="L50" i="1"/>
  <c r="L55" i="1"/>
  <c r="L60" i="1"/>
  <c r="L65" i="1"/>
  <c r="L70" i="1"/>
  <c r="L75" i="1"/>
  <c r="L80" i="1"/>
  <c r="L85" i="1"/>
  <c r="L90" i="1"/>
  <c r="L94" i="1"/>
  <c r="L98" i="1"/>
  <c r="L6" i="1"/>
  <c r="L11" i="1"/>
  <c r="L16" i="1"/>
  <c r="L21" i="1"/>
  <c r="L26" i="1"/>
  <c r="L31" i="1"/>
  <c r="L36" i="1"/>
  <c r="L41" i="1"/>
  <c r="L46" i="1"/>
  <c r="L51" i="1"/>
  <c r="L56" i="1"/>
  <c r="L61" i="1"/>
  <c r="L66" i="1"/>
  <c r="L71" i="1"/>
  <c r="L76" i="1"/>
  <c r="L81" i="1"/>
  <c r="L86" i="1"/>
  <c r="L91" i="1"/>
  <c r="L95" i="1"/>
  <c r="L99" i="1"/>
  <c r="L3" i="1"/>
  <c r="L7" i="1"/>
  <c r="L12" i="1"/>
  <c r="L17" i="1"/>
  <c r="L22" i="1"/>
  <c r="L27" i="1"/>
  <c r="L32" i="1"/>
  <c r="L37" i="1"/>
  <c r="L42" i="1"/>
  <c r="L47" i="1"/>
  <c r="L52" i="1"/>
  <c r="L57" i="1"/>
  <c r="L62" i="1"/>
  <c r="L67" i="1"/>
  <c r="L72" i="1"/>
  <c r="L77" i="1"/>
  <c r="L82" i="1"/>
  <c r="L87" i="1"/>
  <c r="L92" i="1"/>
  <c r="L96" i="1"/>
  <c r="L100" i="1"/>
  <c r="L4" i="1"/>
  <c r="L8" i="1"/>
  <c r="L13" i="1"/>
  <c r="L18" i="1"/>
  <c r="L23" i="1"/>
  <c r="L28" i="1"/>
  <c r="L33" i="1"/>
  <c r="L38" i="1"/>
  <c r="L43" i="1"/>
  <c r="L48" i="1"/>
  <c r="L53" i="1"/>
  <c r="L58" i="1"/>
  <c r="L63" i="1"/>
  <c r="L68" i="1"/>
  <c r="L73" i="1"/>
  <c r="L78" i="1"/>
  <c r="L83" i="1"/>
  <c r="L88" i="1"/>
  <c r="L93" i="1"/>
  <c r="L97" i="1"/>
  <c r="L101" i="1"/>
  <c r="L5" i="1"/>
  <c r="L9" i="1"/>
  <c r="L14" i="1"/>
  <c r="L19" i="1"/>
  <c r="L24" i="1"/>
  <c r="L29" i="1"/>
  <c r="L34" i="1"/>
  <c r="L39" i="1"/>
  <c r="L44" i="1"/>
  <c r="L49" i="1"/>
  <c r="L54" i="1"/>
  <c r="L59" i="1"/>
  <c r="L64" i="1"/>
  <c r="L69" i="1"/>
  <c r="L74" i="1"/>
  <c r="L79" i="1"/>
  <c r="L84" i="1"/>
  <c r="L89" i="1"/>
  <c r="L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<sst xmlns="http://schemas.openxmlformats.org/spreadsheetml/2006/main" count="634" uniqueCount="229">
  <si>
    <t>Emp ID</t>
  </si>
  <si>
    <t>Name</t>
  </si>
  <si>
    <t>Department</t>
  </si>
  <si>
    <t>Salary</t>
  </si>
  <si>
    <t>Sales</t>
  </si>
  <si>
    <t>Attendance %</t>
  </si>
  <si>
    <t>Experience</t>
  </si>
  <si>
    <t>Rating</t>
  </si>
  <si>
    <t>Target</t>
  </si>
  <si>
    <t>Status</t>
  </si>
  <si>
    <t>E001</t>
  </si>
  <si>
    <t>Ahmed</t>
  </si>
  <si>
    <t>Yes</t>
  </si>
  <si>
    <t>Active</t>
  </si>
  <si>
    <t>E002</t>
  </si>
  <si>
    <t>Sara</t>
  </si>
  <si>
    <t>HR</t>
  </si>
  <si>
    <t>No</t>
  </si>
  <si>
    <t>E003</t>
  </si>
  <si>
    <t>Omar</t>
  </si>
  <si>
    <t>IT</t>
  </si>
  <si>
    <t>E004</t>
  </si>
  <si>
    <t>Mona</t>
  </si>
  <si>
    <t>Finance</t>
  </si>
  <si>
    <t>E005</t>
  </si>
  <si>
    <t>Ali</t>
  </si>
  <si>
    <t>Marketing</t>
  </si>
  <si>
    <t>E006</t>
  </si>
  <si>
    <t>Salma</t>
  </si>
  <si>
    <t>Inactive</t>
  </si>
  <si>
    <t>E007</t>
  </si>
  <si>
    <t>Mostafa</t>
  </si>
  <si>
    <t>E008</t>
  </si>
  <si>
    <t>Dina</t>
  </si>
  <si>
    <t>E009</t>
  </si>
  <si>
    <t>Hany</t>
  </si>
  <si>
    <t>E010</t>
  </si>
  <si>
    <t>Nada</t>
  </si>
  <si>
    <t>E011</t>
  </si>
  <si>
    <t>Karim</t>
  </si>
  <si>
    <t>E012</t>
  </si>
  <si>
    <t>Yara</t>
  </si>
  <si>
    <t>E013</t>
  </si>
  <si>
    <t>Tamer</t>
  </si>
  <si>
    <t>E014</t>
  </si>
  <si>
    <t>Reem</t>
  </si>
  <si>
    <t>E015</t>
  </si>
  <si>
    <t>Amr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</si>
  <si>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</si>
  <si>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</si>
  <si>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</si>
  <si>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</si>
  <si>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</si>
  <si>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</si>
  <si>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</si>
  <si>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</si>
  <si>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</si>
  <si>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</si>
  <si>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</si>
  <si>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</si>
  <si>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</si>
  <si>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</si>
  <si>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</si>
  <si>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</si>
  <si>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</si>
  <si>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</si>
  <si>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</si>
  <si>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</si>
  <si>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</si>
  <si>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</si>
  <si>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</si>
  <si>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</si>
  <si>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</si>
  <si>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</si>
  <si>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</si>
  <si>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</si>
  <si>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</si>
  <si>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</si>
  <si>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</si>
  <si>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</si>
  <si>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</si>
  <si>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</si>
  <si>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</si>
  <si>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</si>
  <si>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</si>
  <si>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</si>
  <si>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</si>
  <si>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</si>
  <si>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</si>
  <si>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</si>
  <si>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</si>
  <si>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</si>
  <si>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</si>
  <si>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</si>
  <si>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</si>
  <si>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</si>
  <si>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</si>
  <si>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</si>
  <si>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</si>
  <si>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</si>
  <si>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</si>
  <si>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</si>
  <si>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</si>
  <si>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</si>
  <si>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</si>
  <si>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</si>
  <si>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</si>
  <si>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</si>
  <si>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</si>
  <si>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</si>
  <si>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</si>
  <si>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</si>
  <si>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</si>
  <si>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</si>
  <si>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</si>
  <si>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</si>
  <si>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</si>
  <si>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</si>
  <si>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</si>
  <si>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</si>
  <si>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</si>
  <si>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</si>
  <si>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</si>
  <si>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</si>
  <si>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</si>
  <si>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</si>
  <si>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</si>
  <si>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</si>
  <si>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</si>
  <si>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</si>
  <si>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</si>
  <si>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</si>
  <si>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</si>
  <si>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Category</t>
  </si>
  <si>
    <t>Question</t>
  </si>
  <si>
    <t>IF</t>
  </si>
  <si>
    <t>If Salary &gt;8000 return High otherwise Low</t>
  </si>
  <si>
    <t>If Attendance&gt;=95 return Excellent otherwise Needs Improvement</t>
  </si>
  <si>
    <t>If Status='Active' return Working otherwise Not Working</t>
  </si>
  <si>
    <t>If Sales&gt;100000 return Bonus otherwise No Bonus</t>
  </si>
  <si>
    <t>If Experience&gt;=5 return Senior otherwise Junior</t>
  </si>
  <si>
    <t>If Rating=5 return Outstanding otherwise Normal</t>
  </si>
  <si>
    <t>If Target='Yes' return Achieved otherwise Not Achieved</t>
  </si>
  <si>
    <t>If Department='Sales' return Sales Team otherwise Other Team</t>
  </si>
  <si>
    <t>If Salary&lt;7000 return Increase Needed otherwise OK</t>
  </si>
  <si>
    <t>If Attendance&lt;85 return Warning otherwise Good</t>
  </si>
  <si>
    <t>Nested IF</t>
  </si>
  <si>
    <t>Salary&gt;=12000 Excellent else &gt;=9000 Good else Average</t>
  </si>
  <si>
    <t>Attendance &gt;=95 Excellent &gt;=90 Good else Poor</t>
  </si>
  <si>
    <t>Rating 5 Outstanding 4 Very Good 3 Good else Needs Improvement</t>
  </si>
  <si>
    <t>Experience&gt;=10 Expert &gt;=5 Experienced else Beginner</t>
  </si>
  <si>
    <t>Sales&gt;=150000 Platinum &gt;=100000 Gold else Silver</t>
  </si>
  <si>
    <t>Salary&gt;=13000 A &gt;=10000 B &gt;=7000 C else D</t>
  </si>
  <si>
    <t>Attendance&gt;=98 Perfect &gt;=90 Good &gt;=80 Fair else Poor</t>
  </si>
  <si>
    <t>Experience&gt;=8 Expert &gt;=5 Senior &gt;=2 Mid else Junior</t>
  </si>
  <si>
    <t>Rating 5 Excellent 4 Good 2-3 Average else Poor</t>
  </si>
  <si>
    <t>Sales&gt;=180000 Top &gt;=120000 Best &gt;=80000 Good else Low</t>
  </si>
  <si>
    <t>IFS/AND/OR</t>
  </si>
  <si>
    <t>Salary&gt;9000 AND Attendance&gt;95 Eligible Bonus</t>
  </si>
  <si>
    <t>Department='Sales' AND Sales&gt;120000 Top Sales</t>
  </si>
  <si>
    <t>Experience&gt;5 AND Rating&gt;=4 Promotion</t>
  </si>
  <si>
    <t>Salary&lt;7000 OR Attendance&lt;85 Review Required</t>
  </si>
  <si>
    <t>Status='Inactive' OR Attendance&lt;80 HR Action</t>
  </si>
  <si>
    <t>IFS Salary classification</t>
  </si>
  <si>
    <t>IFS Attendance classification</t>
  </si>
  <si>
    <t>IT AND Rating=5 AND Attendance&gt;=90 IT Star</t>
  </si>
  <si>
    <t>HR OR Finance -&gt; Administration</t>
  </si>
  <si>
    <t>Sales&gt;100000 AND Target=Yes AND Rating&gt;=4 Employee of Month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</si>
  <si>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</si>
  <si>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</si>
  <si>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</si>
  <si>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</si>
  <si>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</si>
  <si>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</si>
  <si>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</si>
  <si>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</si>
  <si>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</si>
  <si>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</si>
  <si>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</si>
  <si>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</si>
  <si>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</si>
  <si>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</si>
  <si>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</si>
  <si>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</si>
  <si>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</si>
  <si>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</si>
  <si>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</si>
  <si>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</si>
  <si>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</si>
  <si>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</si>
  <si>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</si>
  <si>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</si>
  <si>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</si>
  <si>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</si>
  <si>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</si>
  <si>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</si>
  <si>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</si>
  <si>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</si>
  <si>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IF(Employee_Data!F2&lt;85,"Warning","Good")</t>
  </si>
  <si>
    <t>IF(D2&lt;7000,"Increase Needed","OK")</t>
  </si>
  <si>
    <t>IF(C2="Sales","Sales Team","Other Team")</t>
  </si>
  <si>
    <t>IF(I2="Yes","Achieved","Not Achieved")</t>
  </si>
  <si>
    <t>IF(H2=5,"Outstanding","Normal")</t>
  </si>
  <si>
    <t>IF(G2&gt;=5,"Senior","Junior")</t>
  </si>
  <si>
    <t>IF(E2&gt;100000,"Bonus","No Bonus")</t>
  </si>
  <si>
    <t>IF(J2="Active","Working","Not Working")</t>
  </si>
  <si>
    <t>IF(F2&gt;=95,"Excellent","Needs Improvement")</t>
  </si>
  <si>
    <t>IF(D2&gt;8000,"High","Low")</t>
  </si>
  <si>
    <t>Answers</t>
  </si>
  <si>
    <t>IF(E2&gt;=180000,"Top",IF(E2&gt;=120000,"Best",IF(E2&gt;=80000,"Good","Low")))</t>
  </si>
  <si>
    <t>IF(H2&gt;=5,"Excellent",IF(H2&gt;=4,"Good",IF(H2&gt;=2,"Average","Poor")))</t>
  </si>
  <si>
    <t>IF(G2&gt;=8,"Expert",IF(G2&gt;=5,"Senior",IF(G2&gt;=2,"Mid","Junior")))</t>
  </si>
  <si>
    <t>IF(F2&gt;=95,"Perfect",IF(F2&gt;=90,"Good",IF(F2&gt;=80,"Fair","Poor")))</t>
  </si>
  <si>
    <t>IF(D2&gt;=13000,"A",IF(D2&gt;=10000,"B",IF(D2&gt;=7000,"C","D")))</t>
  </si>
  <si>
    <t>IF(E2&gt;=150000,"Platinum",IF(E2&gt;=100000,"Gold","Silver"))</t>
  </si>
  <si>
    <t>IF(G2&gt;=10,"Exper",IF(G2&gt;=5,"Experienced","Beginner"))</t>
  </si>
  <si>
    <t>IF(H2=5,"Outstanding",IF(H2=4,"Very Good",IF(H2=3,"Good","Needs Improvement")))</t>
  </si>
  <si>
    <t>IF(F2&gt;=95,"Excellent",IF(F2&gt;=90,"Good","Poor"))</t>
  </si>
  <si>
    <t>IF(D2&gt;=12000,"Excellent",IF(D2&gt;=9000,"Good","Average"))</t>
  </si>
  <si>
    <t>IFERROR(IFS(AND(E2&gt;100000,I2="Yes", H2&gt;=4), " Employee of Month"),"- ")</t>
  </si>
  <si>
    <t>IFERROR(IFS(OR(C2="Finance",C2="HR"),"Administration")," - ")</t>
  </si>
  <si>
    <t>IFERROR(IFS(AND(C2="IT", H2=5,F2&gt;=90), "IT Star"), "- ")</t>
  </si>
  <si>
    <t>IFERROR(IFS(F2&gt;=95,"Excellent",F2&gt;=90,"Good"),"Poor" )</t>
  </si>
  <si>
    <t>IFERROR(IFS(D2&gt;=12000,"High",D2&gt;=9000,"Medium"),"Low " )</t>
  </si>
  <si>
    <t>IFERROR(IFS(OR(J2="Inactive", F2&gt;80), "HR Action")," - ")</t>
  </si>
  <si>
    <t>IFERROR(IFS(OR(D2&gt;7000, F2&gt;85), "Review Required")," - ")</t>
  </si>
  <si>
    <t>IFERROR(IFS(AND(G2&gt;5, H2&gt;=4), "Promotion"),"- ")</t>
  </si>
  <si>
    <t>IFERROR(IFS(AND(C2="Sales", E2&gt;120000), "Top Sales"),"- ")</t>
  </si>
  <si>
    <t>IFS(AND(D2&gt;9000, F2&gt;95), "Eligible Bonus", TRUE, "Not Eligible")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</si>
</sst>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6" borderId="0" xfId="0" applyFont="1" applyFill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2" fillId="8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2" fillId="9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1"/>
  <sheetViews>
    <sheetView topLeftCell="V1" zoomScale="99" workbookViewId="0">
      <selection activeCell="AN3" sqref="AN3"/>
    </sheetView>
  </sheetViews>
  <sheetFormatPr defaultRowHeight="14.4" x14ac:dyDescent="0.3"/>
  <cols>
    <col min="12" max="12" width="17.77734375" bestFit="1" customWidth="1"/>
    <col min="13" max="13" width="11.33203125" bestFit="1" customWidth="1"/>
    <col min="16" max="16" width="10.77734375" bestFit="1" customWidth="1"/>
    <col min="17" max="17" width="11.88671875" bestFit="1" customWidth="1"/>
    <col min="18" max="18" width="10.6640625" bestFit="1" customWidth="1"/>
    <col min="19" max="19" width="14.77734375" bestFit="1" customWidth="1"/>
    <col min="23" max="23" width="17.77734375" bestFit="1" customWidth="1"/>
    <col min="24" max="24" width="10.88671875" bestFit="1" customWidth="1"/>
    <col min="31" max="31" width="12.109375" bestFit="1" customWidth="1"/>
    <col min="33" max="33" width="9.77734375" bestFit="1" customWidth="1"/>
    <col min="34" max="34" width="14.77734375" bestFit="1" customWidth="1"/>
    <col min="39" max="39" width="13" bestFit="1" customWidth="1"/>
    <col min="40" max="40" width="18" bestFit="1" customWidth="1"/>
  </cols>
  <sheetData>
    <row r="1" spans="1:4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168</v>
      </c>
      <c r="L1" s="5" t="s">
        <v>169</v>
      </c>
      <c r="M1" s="5" t="s">
        <v>170</v>
      </c>
      <c r="N1" s="5" t="s">
        <v>171</v>
      </c>
      <c r="O1" s="5" t="s">
        <v>172</v>
      </c>
      <c r="P1" s="5" t="s">
        <v>173</v>
      </c>
      <c r="Q1" s="5" t="s">
        <v>174</v>
      </c>
      <c r="R1" s="5" t="s">
        <v>175</v>
      </c>
      <c r="S1" s="5" t="s">
        <v>176</v>
      </c>
      <c r="T1" s="5" t="s">
        <v>177</v>
      </c>
      <c r="U1" s="8" t="s">
        <v>178</v>
      </c>
      <c r="V1" s="8" t="s">
        <v>179</v>
      </c>
      <c r="W1" s="8" t="s">
        <v>180</v>
      </c>
      <c r="X1" s="8" t="s">
        <v>181</v>
      </c>
      <c r="Y1" s="8" t="s">
        <v>182</v>
      </c>
      <c r="Z1" s="8" t="s">
        <v>183</v>
      </c>
      <c r="AA1" s="8" t="s">
        <v>184</v>
      </c>
      <c r="AB1" s="8" t="s">
        <v>185</v>
      </c>
      <c r="AC1" s="8" t="s">
        <v>186</v>
      </c>
      <c r="AD1" s="8" t="s">
        <v>187</v>
      </c>
      <c r="AE1" s="10" t="s">
        <v>188</v>
      </c>
      <c r="AF1" s="10" t="s">
        <v>189</v>
      </c>
      <c r="AG1" s="10" t="s">
        <v>190</v>
      </c>
      <c r="AH1" s="10" t="s">
        <v>191</v>
      </c>
      <c r="AI1" s="10" t="s">
        <v>192</v>
      </c>
      <c r="AJ1" s="10" t="s">
        <v>193</v>
      </c>
      <c r="AK1" s="10" t="s">
        <v>194</v>
      </c>
      <c r="AL1" s="10" t="s">
        <v>195</v>
      </c>
      <c r="AM1" s="10" t="s">
        <v>196</v>
      </c>
      <c r="AN1" s="10" t="s">
        <v>197</v>
      </c>
    </row>
    <row r="2" spans="1:40" ht="15.6" x14ac:dyDescent="0.3">
      <c r="A2" t="s">
        <v>52</v>
      </c>
      <c r="B2" t="s">
        <v>25</v>
      </c>
      <c r="C2" t="s">
        <v>26</v>
      </c>
      <c r="D2">
        <v>5051</v>
      </c>
      <c r="E2">
        <v>137000</v>
      </c>
      <c r="F2">
        <v>71</v>
      </c>
      <c r="G2">
        <v>7</v>
      </c>
      <c r="H2">
        <v>2</v>
      </c>
      <c r="I2" t="s">
        <v>17</v>
      </c>
      <c r="J2" t="s">
        <v>29</v>
      </c>
      <c r="K2" t="str">
        <f>IF(D2&gt;8000,"High","Low")</f>
        <v>Low</v>
      </c>
      <c r="L2" t="str">
        <f t="shared" ref="L2:L33" si="0">IF(F2&gt;=95,"Excellent","Needs Improvement")</f>
        <v>Needs Improvement</v>
      </c>
      <c r="M2" t="str">
        <f t="shared" ref="M2:M33" si="1">IF(J2="Active","Working","Not Working")</f>
        <v>Not Working</v>
      </c>
      <c r="N2" t="str">
        <f t="shared" ref="N2:N33" si="2">IF(E2&gt;100000,"Bonus","No Bonus")</f>
        <v>Bonus</v>
      </c>
      <c r="O2" t="str">
        <f>IF(G2&gt;=5,"Senior","Junior")</f>
        <v>Senior</v>
      </c>
      <c r="P2" t="str">
        <f>IF(H2=5,"Outstanding","Normal")</f>
        <v>Normal</v>
      </c>
      <c r="Q2" t="str">
        <f>IF(I2="Yes","Achieved","Not Achieved")</f>
        <v>Not Achieved</v>
      </c>
      <c r="R2" t="str">
        <f>IF(C2="Sales","Sales Team","Other Team")</f>
        <v>Other Team</v>
      </c>
      <c r="S2" t="str">
        <f>IF(D2&lt;7000,"Increase Needed","OK")</f>
        <v>Increase Needed</v>
      </c>
      <c r="T2" t="str">
        <f>IF(Employee_Data!F2&lt;85,"Warning","Good")</f>
        <v>Warning</v>
      </c>
      <c r="U2" t="str">
        <f>IF(D2&gt;=12000,"Excellent",IF(D2&gt;=9000,"Good","Average"))</f>
        <v>Average</v>
      </c>
      <c r="V2" t="str">
        <f>IF(F2&gt;=95,"Excellent",IF(F2&gt;=90,"Good","Poor"))</f>
        <v>Poor</v>
      </c>
      <c r="W2" t="str">
        <f>IF(H2=5,"Outstanding",IF(H2=4,"Very Good",IF(H2=3,"Good","Needs Improvement")))</f>
        <v>Needs Improvement</v>
      </c>
      <c r="X2" t="str">
        <f>IF(G2&gt;=10,"Exper",IF(G2&gt;=5,"Experienced","Beginner"))</f>
        <v>Experienced</v>
      </c>
      <c r="Y2" t="str">
        <f>IF(E2&gt;=150000,"Platinum",IF(E2&gt;=100000,"Gold","Silver"))</f>
        <v>Gold</v>
      </c>
      <c r="Z2" t="str">
        <f>IF(D2&gt;=13000,"A",IF(D2&gt;=10000,"B",IF(D2&gt;=7000,"C","D")))</f>
        <v>D</v>
      </c>
      <c r="AA2" t="str">
        <f>IF(F2&gt;=95,"Perfect",IF(F2&gt;=90,"Good",IF(F2&gt;=80,"Fair","Poor")))</f>
        <v>Poor</v>
      </c>
      <c r="AB2" t="str">
        <f>IF(G2&gt;=8,"Expert",IF(G2&gt;=5,"Senior",IF(G2&gt;=2,"Mid","Junior")))</f>
        <v>Senior</v>
      </c>
      <c r="AC2" t="str">
        <f>IF(H2&gt;=5,"Excellent",IF(H2&gt;=4,"Good",IF(H2&gt;=2,"Average","Poor")))</f>
        <v>Average</v>
      </c>
      <c r="AD2" t="str">
        <f>IF(E2&gt;=180000,"Top",IF(E2&gt;=120000,"Best",IF(E2&gt;=80000,"Good","Low")))</f>
        <v>Best</v>
      </c>
      <c r="AE2" t="str" cm="1">
        <f t="array" ref="AE2">_xlfn.IFS(AND(D2&gt;9000, F2&gt;95), "Eligible Bonus", TRUE, "Not Eligible")</f>
        <v>Not Eligible</v>
      </c>
      <c r="AF2" s="11" t="str" cm="1">
        <f t="array" ref="AF2">IFERROR(_xlfn.IFS(AND(C2="Sales", E2&gt;120000), "Top Sales"),"- ")</f>
        <v xml:space="preserve">- </v>
      </c>
      <c r="AG2" s="11" t="str" cm="1">
        <f t="array" ref="AG2">IFERROR(_xlfn.IFS(AND(G2&gt;5, H2&gt;=4), "Promotion"),"- ")</f>
        <v xml:space="preserve">- </v>
      </c>
      <c r="AH2" s="11" t="str" cm="1">
        <f t="array" ref="AH2">IFERROR(_xlfn.IFS(OR(D2&gt;7000, F2&gt;85), "Review Required")," - ")</f>
        <v xml:space="preserve"> - </v>
      </c>
      <c r="AI2" s="11" t="str" cm="1">
        <f t="array" ref="AI2">IFERROR(_xlfn.IFS(OR(J2="Inactive", F2&gt;80), "HR Action")," - ")</f>
        <v>HR Action</v>
      </c>
      <c r="AJ2" s="11" t="str" cm="1">
        <f t="array" ref="AJ2">IFERROR(_xlfn.IFS(D2&gt;=12000,"High",D2&gt;=9000,"Medium"),"Low " )</f>
        <v xml:space="preserve">Low </v>
      </c>
      <c r="AK2" t="str" cm="1">
        <f t="array" ref="AK2">IFERROR(_xlfn.IFS(F2&gt;=95,"Excellent",F2&gt;=90,"Good"),"Poor" )</f>
        <v>Poor</v>
      </c>
      <c r="AL2" s="12" t="str" cm="1">
        <f t="array" ref="AL2">IFERROR(_xlfn.IFS(AND(C2="IT", H2=5,F2&gt;=90), "IT Star"), "- ")</f>
        <v xml:space="preserve">- </v>
      </c>
      <c r="AM2" s="11" t="str" cm="1">
        <f t="array" ref="AM2">IFERROR(_xlfn.IFS(OR(C2="Finance",C2="HR"),"Administration")," - ")</f>
        <v xml:space="preserve"> - </v>
      </c>
      <c r="AN2" s="11" t="str" cm="1">
        <f t="array" ref="AN2">IFERROR(_xlfn.IFS(AND(E2&gt;100000,I2="Yes", H2&gt;=4), " Employee of Month"),"- ")</f>
        <v xml:space="preserve">- </v>
      </c>
    </row>
    <row r="3" spans="1:40" ht="15.6" x14ac:dyDescent="0.3">
      <c r="A3" t="s">
        <v>73</v>
      </c>
      <c r="B3" t="s">
        <v>39</v>
      </c>
      <c r="C3" t="s">
        <v>4</v>
      </c>
      <c r="D3">
        <v>5102</v>
      </c>
      <c r="E3">
        <v>54000</v>
      </c>
      <c r="F3">
        <v>72</v>
      </c>
      <c r="G3">
        <v>1</v>
      </c>
      <c r="H3">
        <v>3</v>
      </c>
      <c r="I3" t="s">
        <v>12</v>
      </c>
      <c r="J3" t="s">
        <v>29</v>
      </c>
      <c r="K3" t="str">
        <f t="shared" ref="K3:K66" si="3">IF(D3&gt;8000,"High","Low")</f>
        <v>Low</v>
      </c>
      <c r="L3" t="str">
        <f t="shared" si="0"/>
        <v>Needs Improvement</v>
      </c>
      <c r="M3" t="str">
        <f t="shared" si="1"/>
        <v>Not Working</v>
      </c>
      <c r="N3" t="str">
        <f t="shared" si="2"/>
        <v>No Bonus</v>
      </c>
      <c r="O3" t="str">
        <f t="shared" ref="O3:O66" si="4">IF(G3&gt;=5,"Senior","Junior")</f>
        <v>Junior</v>
      </c>
      <c r="P3" t="str">
        <f t="shared" ref="P3:P66" si="5">IF(H3=5,"Outstanding","Normal")</f>
        <v>Normal</v>
      </c>
      <c r="Q3" t="str">
        <f t="shared" ref="Q3:Q66" si="6">IF(I3="Yes","Achieved","Not Achieved")</f>
        <v>Achieved</v>
      </c>
      <c r="R3" t="str">
        <f t="shared" ref="R3:R66" si="7">IF(C3="Sales","Sales Team","Other Team")</f>
        <v>Sales Team</v>
      </c>
      <c r="S3" t="str">
        <f t="shared" ref="S3:S66" si="8">IF(D3&lt;7000,"Increase Needed","OK")</f>
        <v>Increase Needed</v>
      </c>
      <c r="T3" t="str">
        <f>IF(Employee_Data!F3&lt;85,"Warning","Good")</f>
        <v>Warning</v>
      </c>
      <c r="U3" t="str">
        <f t="shared" ref="U3:U66" si="9">IF(D3&gt;=12000,"Excellent",IF(D3&gt;=9000,"Good","Average"))</f>
        <v>Average</v>
      </c>
      <c r="V3" t="str">
        <f t="shared" ref="V3:V66" si="10">IF(F3&gt;=95,"Excellent",IF(F3&gt;=90,"Good","Poor"))</f>
        <v>Poor</v>
      </c>
      <c r="W3" t="str">
        <f t="shared" ref="W3:W66" si="11">IF(H3=5,"Outstanding",IF(H3=4,"Very Good",IF(H3=3,"Good","Needs Improvement")))</f>
        <v>Good</v>
      </c>
      <c r="X3" t="str">
        <f t="shared" ref="X3:X66" si="12">IF(G3&gt;=10,"Exper",IF(G3&gt;=5,"Experienced","Beginner"))</f>
        <v>Beginner</v>
      </c>
      <c r="Y3" t="str">
        <f t="shared" ref="Y3:Y66" si="13">IF(E3&gt;=150000,"Platinum",IF(E3&gt;=100000,"Gold","Silver"))</f>
        <v>Silver</v>
      </c>
      <c r="Z3" t="str">
        <f t="shared" ref="Z3:Z66" si="14">IF(D3&gt;=13000,"A",IF(D3&gt;=10000,"B",IF(D3&gt;=7000,"C","D")))</f>
        <v>D</v>
      </c>
      <c r="AA3" t="str">
        <f t="shared" ref="AA3:AA66" si="15">IF(F3&gt;=95,"Perfect",IF(F3&gt;=90,"Good",IF(F3&gt;=80,"Fair","Poor")))</f>
        <v>Poor</v>
      </c>
      <c r="AB3" t="str">
        <f t="shared" ref="AB3:AB66" si="16">IF(G3&gt;=8,"Expert",IF(G3&gt;=5,"Senior",IF(G3&gt;=2,"Mid","Junior")))</f>
        <v>Junior</v>
      </c>
      <c r="AC3" t="str">
        <f t="shared" ref="AC3:AC66" si="17">IF(H3&gt;=5,"Excellent",IF(H3&gt;=4,"Good",IF(H3&gt;=2,"Average","Poor")))</f>
        <v>Average</v>
      </c>
      <c r="AD3" t="str">
        <f t="shared" ref="AD3:AD66" si="18">IF(E3&gt;=180000,"Top",IF(E3&gt;=120000,"Best",IF(E3&gt;=80000,"Good","Low")))</f>
        <v>Low</v>
      </c>
      <c r="AE3" t="str" cm="1">
        <f t="array" ref="AE3">_xlfn.IFS(AND(D3&gt;9000, F3&gt;95), "Eligible Bonus", TRUE, "Not Eligible")</f>
        <v>Not Eligible</v>
      </c>
      <c r="AF3" s="11" t="str" cm="1">
        <f t="array" ref="AF3">IFERROR(_xlfn.IFS(AND(C3="Sales", E3&gt;120000), "Top Sales"),"- ")</f>
        <v xml:space="preserve">- </v>
      </c>
      <c r="AG3" s="11" t="str" cm="1">
        <f t="array" ref="AG3">IFERROR(_xlfn.IFS(AND(G3&gt;5, H3&gt;=4), "Promotion"),"- ")</f>
        <v xml:space="preserve">- </v>
      </c>
      <c r="AH3" s="11" t="str" cm="1">
        <f t="array" ref="AH3">IFERROR(_xlfn.IFS(OR(D3&gt;7000, F3&gt;85), "Review Required")," - ")</f>
        <v xml:space="preserve"> - </v>
      </c>
      <c r="AI3" s="11" t="str" cm="1">
        <f t="array" ref="AI3">IFERROR(_xlfn.IFS(OR(J3="Inactive", F3&gt;80), "HR Action")," - ")</f>
        <v>HR Action</v>
      </c>
      <c r="AJ3" s="11" t="str" cm="1">
        <f t="array" ref="AJ3">IFERROR(_xlfn.IFS(D3&gt;=12000,"High",D3&gt;=9000,"Medium"),"Low " )</f>
        <v xml:space="preserve">Low </v>
      </c>
      <c r="AK3" t="str" cm="1">
        <f t="array" ref="AK3">IFERROR(_xlfn.IFS(F3&gt;=95,"Excellent",F3&gt;=90,"Good"),"Poor" )</f>
        <v>Poor</v>
      </c>
      <c r="AL3" s="12" t="str" cm="1">
        <f t="array" ref="AL3">IFERROR(_xlfn.IFS(AND(C3="IT", H3=5,F3&gt;=90), "IT Star"), "- ")</f>
        <v xml:space="preserve">- </v>
      </c>
      <c r="AM3" s="11" t="str" cm="1">
        <f t="array" ref="AM3">IFERROR(_xlfn.IFS(OR(C3="Finance",C3="HR"),"Administration")," - ")</f>
        <v xml:space="preserve"> - </v>
      </c>
      <c r="AN3" s="11" t="str" cm="1">
        <f t="array" ref="AN3">IFERROR(_xlfn.IFS(AND(E3&gt;100000,I3="Yes", H3&gt;=4), " Employee of Month"),"- ")</f>
        <v xml:space="preserve">- </v>
      </c>
    </row>
    <row r="4" spans="1:40" ht="15.6" x14ac:dyDescent="0.3">
      <c r="A4" t="s">
        <v>94</v>
      </c>
      <c r="B4" t="s">
        <v>15</v>
      </c>
      <c r="C4" t="s">
        <v>16</v>
      </c>
      <c r="D4">
        <v>5153</v>
      </c>
      <c r="E4">
        <v>191000</v>
      </c>
      <c r="F4">
        <v>73</v>
      </c>
      <c r="G4">
        <v>7</v>
      </c>
      <c r="H4">
        <v>4</v>
      </c>
      <c r="I4" t="s">
        <v>17</v>
      </c>
      <c r="J4" t="s">
        <v>29</v>
      </c>
      <c r="K4" t="str">
        <f t="shared" si="3"/>
        <v>Low</v>
      </c>
      <c r="L4" t="str">
        <f t="shared" si="0"/>
        <v>Needs Improvement</v>
      </c>
      <c r="M4" t="str">
        <f t="shared" si="1"/>
        <v>Not Working</v>
      </c>
      <c r="N4" t="str">
        <f t="shared" si="2"/>
        <v>Bonus</v>
      </c>
      <c r="O4" t="str">
        <f t="shared" si="4"/>
        <v>Senior</v>
      </c>
      <c r="P4" t="str">
        <f t="shared" si="5"/>
        <v>Normal</v>
      </c>
      <c r="Q4" t="str">
        <f t="shared" si="6"/>
        <v>Not Achieved</v>
      </c>
      <c r="R4" t="str">
        <f t="shared" si="7"/>
        <v>Other Team</v>
      </c>
      <c r="S4" t="str">
        <f t="shared" si="8"/>
        <v>Increase Needed</v>
      </c>
      <c r="T4" t="str">
        <f>IF(Employee_Data!F4&lt;85,"Warning","Good")</f>
        <v>Warning</v>
      </c>
      <c r="U4" t="str">
        <f t="shared" si="9"/>
        <v>Average</v>
      </c>
      <c r="V4" t="str">
        <f t="shared" si="10"/>
        <v>Poor</v>
      </c>
      <c r="W4" t="str">
        <f t="shared" si="11"/>
        <v>Very Good</v>
      </c>
      <c r="X4" t="str">
        <f t="shared" si="12"/>
        <v>Experienced</v>
      </c>
      <c r="Y4" t="str">
        <f t="shared" si="13"/>
        <v>Platinum</v>
      </c>
      <c r="Z4" t="str">
        <f t="shared" si="14"/>
        <v>D</v>
      </c>
      <c r="AA4" t="str">
        <f t="shared" si="15"/>
        <v>Poor</v>
      </c>
      <c r="AB4" t="str">
        <f t="shared" si="16"/>
        <v>Senior</v>
      </c>
      <c r="AC4" t="str">
        <f t="shared" si="17"/>
        <v>Good</v>
      </c>
      <c r="AD4" t="str">
        <f t="shared" si="18"/>
        <v>Top</v>
      </c>
      <c r="AE4" t="str" cm="1">
        <f t="array" ref="AE4">_xlfn.IFS(AND(D4&gt;9000, F4&gt;95), "Eligible Bonus", TRUE, "Not Eligible")</f>
        <v>Not Eligible</v>
      </c>
      <c r="AF4" s="11" t="str" cm="1">
        <f t="array" ref="AF4">IFERROR(_xlfn.IFS(AND(C4="Sales", E4&gt;120000), "Top Sales"),"- ")</f>
        <v xml:space="preserve">- </v>
      </c>
      <c r="AG4" s="11" t="str" cm="1">
        <f t="array" ref="AG4">IFERROR(_xlfn.IFS(AND(G4&gt;5, H4&gt;=4), "Promotion"),"- ")</f>
        <v>Promotion</v>
      </c>
      <c r="AH4" s="11" t="str" cm="1">
        <f t="array" ref="AH4">IFERROR(_xlfn.IFS(OR(D4&gt;7000, F4&gt;85), "Review Required")," - ")</f>
        <v xml:space="preserve"> - </v>
      </c>
      <c r="AI4" s="11" t="str" cm="1">
        <f t="array" ref="AI4">IFERROR(_xlfn.IFS(OR(J4="Inactive", F4&gt;80), "HR Action")," - ")</f>
        <v>HR Action</v>
      </c>
      <c r="AJ4" s="11" t="str" cm="1">
        <f t="array" ref="AJ4">IFERROR(_xlfn.IFS(D4&gt;=12000,"High",D4&gt;=9000,"Medium"),"Low " )</f>
        <v xml:space="preserve">Low </v>
      </c>
      <c r="AK4" t="str" cm="1">
        <f t="array" ref="AK4">IFERROR(_xlfn.IFS(F4&gt;=95,"Excellent",F4&gt;=90,"Good"),"Poor" )</f>
        <v>Poor</v>
      </c>
      <c r="AL4" s="12" t="str" cm="1">
        <f t="array" ref="AL4">IFERROR(_xlfn.IFS(AND(C4="IT", H4=5,F4&gt;=90), "IT Star"), "- ")</f>
        <v xml:space="preserve">- </v>
      </c>
      <c r="AM4" s="11" t="str" cm="1">
        <f t="array" ref="AM4">IFERROR(_xlfn.IFS(OR(C4="Finance",C4="HR"),"Administration")," - ")</f>
        <v>Administration</v>
      </c>
      <c r="AN4" s="11" t="str" cm="1">
        <f t="array" ref="AN4">IFERROR(_xlfn.IFS(AND(E4&gt;100000,I4="Yes", H4&gt;=4), " Employee of Month"),"- ")</f>
        <v xml:space="preserve">- </v>
      </c>
    </row>
    <row r="5" spans="1:40" ht="15.6" x14ac:dyDescent="0.3">
      <c r="A5" t="s">
        <v>115</v>
      </c>
      <c r="B5" t="s">
        <v>33</v>
      </c>
      <c r="C5" t="s">
        <v>20</v>
      </c>
      <c r="D5">
        <v>5204</v>
      </c>
      <c r="E5">
        <v>108000</v>
      </c>
      <c r="F5">
        <v>74</v>
      </c>
      <c r="G5">
        <v>1</v>
      </c>
      <c r="H5">
        <v>5</v>
      </c>
      <c r="I5" t="s">
        <v>12</v>
      </c>
      <c r="J5" t="s">
        <v>29</v>
      </c>
      <c r="K5" t="str">
        <f t="shared" si="3"/>
        <v>Low</v>
      </c>
      <c r="L5" t="str">
        <f t="shared" si="0"/>
        <v>Needs Improvement</v>
      </c>
      <c r="M5" t="str">
        <f t="shared" si="1"/>
        <v>Not Working</v>
      </c>
      <c r="N5" t="str">
        <f t="shared" si="2"/>
        <v>Bonus</v>
      </c>
      <c r="O5" t="str">
        <f t="shared" si="4"/>
        <v>Junior</v>
      </c>
      <c r="P5" t="str">
        <f t="shared" si="5"/>
        <v>Outstanding</v>
      </c>
      <c r="Q5" t="str">
        <f t="shared" si="6"/>
        <v>Achieved</v>
      </c>
      <c r="R5" t="str">
        <f t="shared" si="7"/>
        <v>Other Team</v>
      </c>
      <c r="S5" t="str">
        <f t="shared" si="8"/>
        <v>Increase Needed</v>
      </c>
      <c r="T5" t="str">
        <f>IF(Employee_Data!F5&lt;85,"Warning","Good")</f>
        <v>Warning</v>
      </c>
      <c r="U5" t="str">
        <f t="shared" si="9"/>
        <v>Average</v>
      </c>
      <c r="V5" t="str">
        <f t="shared" si="10"/>
        <v>Poor</v>
      </c>
      <c r="W5" t="str">
        <f t="shared" si="11"/>
        <v>Outstanding</v>
      </c>
      <c r="X5" t="str">
        <f t="shared" si="12"/>
        <v>Beginner</v>
      </c>
      <c r="Y5" t="str">
        <f t="shared" si="13"/>
        <v>Gold</v>
      </c>
      <c r="Z5" t="str">
        <f t="shared" si="14"/>
        <v>D</v>
      </c>
      <c r="AA5" t="str">
        <f t="shared" si="15"/>
        <v>Poor</v>
      </c>
      <c r="AB5" t="str">
        <f t="shared" si="16"/>
        <v>Junior</v>
      </c>
      <c r="AC5" t="str">
        <f t="shared" si="17"/>
        <v>Excellent</v>
      </c>
      <c r="AD5" t="str">
        <f t="shared" si="18"/>
        <v>Good</v>
      </c>
      <c r="AE5" t="str" cm="1">
        <f t="array" ref="AE5">_xlfn.IFS(AND(D5&gt;9000, F5&gt;95), "Eligible Bonus", TRUE, "Not Eligible")</f>
        <v>Not Eligible</v>
      </c>
      <c r="AF5" s="11" t="str" cm="1">
        <f t="array" ref="AF5">IFERROR(_xlfn.IFS(AND(C5="Sales", E5&gt;120000), "Top Sales"),"- ")</f>
        <v xml:space="preserve">- </v>
      </c>
      <c r="AG5" s="11" t="str" cm="1">
        <f t="array" ref="AG5">IFERROR(_xlfn.IFS(AND(G5&gt;5, H5&gt;=4), "Promotion"),"- ")</f>
        <v xml:space="preserve">- </v>
      </c>
      <c r="AH5" s="11" t="str" cm="1">
        <f t="array" ref="AH5">IFERROR(_xlfn.IFS(OR(D5&gt;7000, F5&gt;85), "Review Required")," - ")</f>
        <v xml:space="preserve"> - </v>
      </c>
      <c r="AI5" s="11" t="str" cm="1">
        <f t="array" ref="AI5">IFERROR(_xlfn.IFS(OR(J5="Inactive", F5&gt;80), "HR Action")," - ")</f>
        <v>HR Action</v>
      </c>
      <c r="AJ5" s="11" t="str" cm="1">
        <f t="array" ref="AJ5">IFERROR(_xlfn.IFS(D5&gt;=12000,"High",D5&gt;=9000,"Medium"),"Low " )</f>
        <v xml:space="preserve">Low </v>
      </c>
      <c r="AK5" t="str" cm="1">
        <f t="array" ref="AK5">IFERROR(_xlfn.IFS(F5&gt;=95,"Excellent",F5&gt;=90,"Good"),"Poor" )</f>
        <v>Poor</v>
      </c>
      <c r="AL5" s="12" t="str" cm="1">
        <f t="array" ref="AL5">IFERROR(_xlfn.IFS(AND(C5="IT", H5=5,F5&gt;=90), "IT Star"), "- ")</f>
        <v xml:space="preserve">- </v>
      </c>
      <c r="AM5" s="11" t="str" cm="1">
        <f t="array" ref="AM5">IFERROR(_xlfn.IFS(OR(C5="Finance",C5="HR"),"Administration")," - ")</f>
        <v xml:space="preserve"> - </v>
      </c>
      <c r="AN5" s="11" t="str" cm="1">
        <f t="array" ref="AN5">IFERROR(_xlfn.IFS(AND(E5&gt;100000,I5="Yes", H5&gt;=4), " Employee of Month"),"- ")</f>
        <v xml:space="preserve"> Employee of Month</v>
      </c>
    </row>
    <row r="6" spans="1:40" ht="15.6" x14ac:dyDescent="0.3">
      <c r="A6" t="s">
        <v>53</v>
      </c>
      <c r="B6" t="s">
        <v>28</v>
      </c>
      <c r="C6" t="s">
        <v>4</v>
      </c>
      <c r="D6">
        <v>5482</v>
      </c>
      <c r="E6">
        <v>154000</v>
      </c>
      <c r="F6">
        <v>74</v>
      </c>
      <c r="G6">
        <v>9</v>
      </c>
      <c r="H6">
        <v>3</v>
      </c>
      <c r="I6" t="s">
        <v>12</v>
      </c>
      <c r="J6" t="s">
        <v>13</v>
      </c>
      <c r="K6" t="str">
        <f t="shared" si="3"/>
        <v>Low</v>
      </c>
      <c r="L6" t="str">
        <f t="shared" si="0"/>
        <v>Needs Improvement</v>
      </c>
      <c r="M6" t="str">
        <f t="shared" si="1"/>
        <v>Working</v>
      </c>
      <c r="N6" t="str">
        <f t="shared" si="2"/>
        <v>Bonus</v>
      </c>
      <c r="O6" t="str">
        <f t="shared" si="4"/>
        <v>Senior</v>
      </c>
      <c r="P6" t="str">
        <f t="shared" si="5"/>
        <v>Normal</v>
      </c>
      <c r="Q6" t="str">
        <f t="shared" si="6"/>
        <v>Achieved</v>
      </c>
      <c r="R6" t="str">
        <f t="shared" si="7"/>
        <v>Sales Team</v>
      </c>
      <c r="S6" t="str">
        <f t="shared" si="8"/>
        <v>Increase Needed</v>
      </c>
      <c r="T6" t="str">
        <f>IF(Employee_Data!F6&lt;85,"Warning","Good")</f>
        <v>Warning</v>
      </c>
      <c r="U6" t="str">
        <f t="shared" si="9"/>
        <v>Average</v>
      </c>
      <c r="V6" t="str">
        <f t="shared" si="10"/>
        <v>Poor</v>
      </c>
      <c r="W6" t="str">
        <f t="shared" si="11"/>
        <v>Good</v>
      </c>
      <c r="X6" t="str">
        <f t="shared" si="12"/>
        <v>Experienced</v>
      </c>
      <c r="Y6" t="str">
        <f t="shared" si="13"/>
        <v>Platinum</v>
      </c>
      <c r="Z6" t="str">
        <f t="shared" si="14"/>
        <v>D</v>
      </c>
      <c r="AA6" t="str">
        <f t="shared" si="15"/>
        <v>Poor</v>
      </c>
      <c r="AB6" t="str">
        <f t="shared" si="16"/>
        <v>Expert</v>
      </c>
      <c r="AC6" t="str">
        <f t="shared" si="17"/>
        <v>Average</v>
      </c>
      <c r="AD6" t="str">
        <f t="shared" si="18"/>
        <v>Best</v>
      </c>
      <c r="AE6" t="str" cm="1">
        <f t="array" ref="AE6">_xlfn.IFS(AND(D6&gt;9000, F6&gt;95), "Eligible Bonus", TRUE, "Not Eligible")</f>
        <v>Not Eligible</v>
      </c>
      <c r="AF6" s="11" t="str" cm="1">
        <f t="array" ref="AF6">IFERROR(_xlfn.IFS(AND(C6="Sales", E6&gt;120000), "Top Sales"),"- ")</f>
        <v>Top Sales</v>
      </c>
      <c r="AG6" s="11" t="str" cm="1">
        <f t="array" ref="AG6">IFERROR(_xlfn.IFS(AND(G6&gt;5, H6&gt;=4), "Promotion"),"- ")</f>
        <v xml:space="preserve">- </v>
      </c>
      <c r="AH6" s="11" t="str" cm="1">
        <f t="array" ref="AH6">IFERROR(_xlfn.IFS(OR(D6&gt;7000, F6&gt;85), "Review Required")," - ")</f>
        <v xml:space="preserve"> - </v>
      </c>
      <c r="AI6" s="11" t="str" cm="1">
        <f t="array" ref="AI6">IFERROR(_xlfn.IFS(OR(J6="Inactive", F6&gt;80), "HR Action")," - ")</f>
        <v xml:space="preserve"> - </v>
      </c>
      <c r="AJ6" s="11" t="str" cm="1">
        <f t="array" ref="AJ6">IFERROR(_xlfn.IFS(D6&gt;=12000,"High",D6&gt;=9000,"Medium"),"Low " )</f>
        <v xml:space="preserve">Low </v>
      </c>
      <c r="AK6" t="str" cm="1">
        <f t="array" ref="AK6">IFERROR(_xlfn.IFS(F6&gt;=95,"Excellent",F6&gt;=90,"Good"),"Poor" )</f>
        <v>Poor</v>
      </c>
      <c r="AL6" s="12" t="str" cm="1">
        <f t="array" ref="AL6">IFERROR(_xlfn.IFS(AND(C6="IT", H6=5,F6&gt;=90), "IT Star"), "- ")</f>
        <v xml:space="preserve">- </v>
      </c>
      <c r="AM6" s="11" t="str" cm="1">
        <f t="array" ref="AM6">IFERROR(_xlfn.IFS(OR(C6="Finance",C6="HR"),"Administration")," - ")</f>
        <v xml:space="preserve"> - </v>
      </c>
      <c r="AN6" s="11" t="str" cm="1">
        <f t="array" ref="AN6">IFERROR(_xlfn.IFS(AND(E6&gt;100000,I6="Yes", H6&gt;=4), " Employee of Month"),"- ")</f>
        <v xml:space="preserve">- </v>
      </c>
    </row>
    <row r="7" spans="1:40" ht="15.6" x14ac:dyDescent="0.3">
      <c r="A7" t="s">
        <v>74</v>
      </c>
      <c r="B7" t="s">
        <v>41</v>
      </c>
      <c r="C7" t="s">
        <v>16</v>
      </c>
      <c r="D7">
        <v>5533</v>
      </c>
      <c r="E7">
        <v>71000</v>
      </c>
      <c r="F7">
        <v>75</v>
      </c>
      <c r="G7">
        <v>3</v>
      </c>
      <c r="H7">
        <v>4</v>
      </c>
      <c r="I7" t="s">
        <v>17</v>
      </c>
      <c r="J7" t="s">
        <v>13</v>
      </c>
      <c r="K7" t="str">
        <f t="shared" si="3"/>
        <v>Low</v>
      </c>
      <c r="L7" t="str">
        <f t="shared" si="0"/>
        <v>Needs Improvement</v>
      </c>
      <c r="M7" t="str">
        <f t="shared" si="1"/>
        <v>Working</v>
      </c>
      <c r="N7" t="str">
        <f t="shared" si="2"/>
        <v>No Bonus</v>
      </c>
      <c r="O7" t="str">
        <f t="shared" si="4"/>
        <v>Junior</v>
      </c>
      <c r="P7" t="str">
        <f t="shared" si="5"/>
        <v>Normal</v>
      </c>
      <c r="Q7" t="str">
        <f t="shared" si="6"/>
        <v>Not Achieved</v>
      </c>
      <c r="R7" t="str">
        <f t="shared" si="7"/>
        <v>Other Team</v>
      </c>
      <c r="S7" t="str">
        <f t="shared" si="8"/>
        <v>Increase Needed</v>
      </c>
      <c r="T7" t="str">
        <f>IF(Employee_Data!F7&lt;85,"Warning","Good")</f>
        <v>Warning</v>
      </c>
      <c r="U7" t="str">
        <f t="shared" si="9"/>
        <v>Average</v>
      </c>
      <c r="V7" t="str">
        <f t="shared" si="10"/>
        <v>Poor</v>
      </c>
      <c r="W7" t="str">
        <f t="shared" si="11"/>
        <v>Very Good</v>
      </c>
      <c r="X7" t="str">
        <f t="shared" si="12"/>
        <v>Beginner</v>
      </c>
      <c r="Y7" t="str">
        <f t="shared" si="13"/>
        <v>Silver</v>
      </c>
      <c r="Z7" t="str">
        <f t="shared" si="14"/>
        <v>D</v>
      </c>
      <c r="AA7" t="str">
        <f t="shared" si="15"/>
        <v>Poor</v>
      </c>
      <c r="AB7" t="str">
        <f t="shared" si="16"/>
        <v>Mid</v>
      </c>
      <c r="AC7" t="str">
        <f t="shared" si="17"/>
        <v>Good</v>
      </c>
      <c r="AD7" t="str">
        <f t="shared" si="18"/>
        <v>Low</v>
      </c>
      <c r="AE7" t="str" cm="1">
        <f t="array" ref="AE7">_xlfn.IFS(AND(D7&gt;9000, F7&gt;95), "Eligible Bonus", TRUE, "Not Eligible")</f>
        <v>Not Eligible</v>
      </c>
      <c r="AF7" s="11" t="str" cm="1">
        <f t="array" ref="AF7">IFERROR(_xlfn.IFS(AND(C7="Sales", E7&gt;120000), "Top Sales"),"- ")</f>
        <v xml:space="preserve">- </v>
      </c>
      <c r="AG7" s="11" t="str" cm="1">
        <f t="array" ref="AG7">IFERROR(_xlfn.IFS(AND(G7&gt;5, H7&gt;=4), "Promotion"),"- ")</f>
        <v xml:space="preserve">- </v>
      </c>
      <c r="AH7" s="11" t="str" cm="1">
        <f t="array" ref="AH7">IFERROR(_xlfn.IFS(OR(D7&gt;7000, F7&gt;85), "Review Required")," - ")</f>
        <v xml:space="preserve"> - </v>
      </c>
      <c r="AI7" s="11" t="str" cm="1">
        <f t="array" ref="AI7">IFERROR(_xlfn.IFS(OR(J7="Inactive", F7&gt;80), "HR Action")," - ")</f>
        <v xml:space="preserve"> - </v>
      </c>
      <c r="AJ7" s="11" t="str" cm="1">
        <f t="array" ref="AJ7">IFERROR(_xlfn.IFS(D7&gt;=12000,"High",D7&gt;=9000,"Medium"),"Low " )</f>
        <v xml:space="preserve">Low </v>
      </c>
      <c r="AK7" t="str" cm="1">
        <f t="array" ref="AK7">IFERROR(_xlfn.IFS(F7&gt;=95,"Excellent",F7&gt;=90,"Good"),"Poor" )</f>
        <v>Poor</v>
      </c>
      <c r="AL7" s="12" t="str" cm="1">
        <f t="array" ref="AL7">IFERROR(_xlfn.IFS(AND(C7="IT", H7=5,F7&gt;=90), "IT Star"), "- ")</f>
        <v xml:space="preserve">- </v>
      </c>
      <c r="AM7" s="11" t="str" cm="1">
        <f t="array" ref="AM7">IFERROR(_xlfn.IFS(OR(C7="Finance",C7="HR"),"Administration")," - ")</f>
        <v>Administration</v>
      </c>
      <c r="AN7" s="11" t="str" cm="1">
        <f t="array" ref="AN7">IFERROR(_xlfn.IFS(AND(E7&gt;100000,I7="Yes", H7&gt;=4), " Employee of Month"),"- ")</f>
        <v xml:space="preserve">- </v>
      </c>
    </row>
    <row r="8" spans="1:40" ht="15.6" x14ac:dyDescent="0.3">
      <c r="A8" t="s">
        <v>95</v>
      </c>
      <c r="B8" t="s">
        <v>19</v>
      </c>
      <c r="C8" t="s">
        <v>20</v>
      </c>
      <c r="D8">
        <v>5584</v>
      </c>
      <c r="E8">
        <v>208000</v>
      </c>
      <c r="F8">
        <v>76</v>
      </c>
      <c r="G8">
        <v>9</v>
      </c>
      <c r="H8">
        <v>5</v>
      </c>
      <c r="I8" t="s">
        <v>12</v>
      </c>
      <c r="J8" t="s">
        <v>13</v>
      </c>
      <c r="K8" t="str">
        <f t="shared" si="3"/>
        <v>Low</v>
      </c>
      <c r="L8" t="str">
        <f t="shared" si="0"/>
        <v>Needs Improvement</v>
      </c>
      <c r="M8" t="str">
        <f t="shared" si="1"/>
        <v>Working</v>
      </c>
      <c r="N8" t="str">
        <f t="shared" si="2"/>
        <v>Bonus</v>
      </c>
      <c r="O8" t="str">
        <f t="shared" si="4"/>
        <v>Senior</v>
      </c>
      <c r="P8" t="str">
        <f t="shared" si="5"/>
        <v>Outstanding</v>
      </c>
      <c r="Q8" t="str">
        <f t="shared" si="6"/>
        <v>Achieved</v>
      </c>
      <c r="R8" t="str">
        <f t="shared" si="7"/>
        <v>Other Team</v>
      </c>
      <c r="S8" t="str">
        <f t="shared" si="8"/>
        <v>Increase Needed</v>
      </c>
      <c r="T8" t="str">
        <f>IF(Employee_Data!F8&lt;85,"Warning","Good")</f>
        <v>Warning</v>
      </c>
      <c r="U8" t="str">
        <f t="shared" si="9"/>
        <v>Average</v>
      </c>
      <c r="V8" t="str">
        <f t="shared" si="10"/>
        <v>Poor</v>
      </c>
      <c r="W8" t="str">
        <f t="shared" si="11"/>
        <v>Outstanding</v>
      </c>
      <c r="X8" t="str">
        <f t="shared" si="12"/>
        <v>Experienced</v>
      </c>
      <c r="Y8" t="str">
        <f t="shared" si="13"/>
        <v>Platinum</v>
      </c>
      <c r="Z8" t="str">
        <f t="shared" si="14"/>
        <v>D</v>
      </c>
      <c r="AA8" t="str">
        <f t="shared" si="15"/>
        <v>Poor</v>
      </c>
      <c r="AB8" t="str">
        <f t="shared" si="16"/>
        <v>Expert</v>
      </c>
      <c r="AC8" t="str">
        <f t="shared" si="17"/>
        <v>Excellent</v>
      </c>
      <c r="AD8" t="str">
        <f t="shared" si="18"/>
        <v>Top</v>
      </c>
      <c r="AE8" t="str" cm="1">
        <f t="array" ref="AE8">_xlfn.IFS(AND(D8&gt;9000, F8&gt;95), "Eligible Bonus", TRUE, "Not Eligible")</f>
        <v>Not Eligible</v>
      </c>
      <c r="AF8" s="11" t="str" cm="1">
        <f t="array" ref="AF8">IFERROR(_xlfn.IFS(AND(C8="Sales", E8&gt;120000), "Top Sales"),"- ")</f>
        <v xml:space="preserve">- </v>
      </c>
      <c r="AG8" s="11" t="str" cm="1">
        <f t="array" ref="AG8">IFERROR(_xlfn.IFS(AND(G8&gt;5, H8&gt;=4), "Promotion"),"- ")</f>
        <v>Promotion</v>
      </c>
      <c r="AH8" s="11" t="str" cm="1">
        <f t="array" ref="AH8">IFERROR(_xlfn.IFS(OR(D8&gt;7000, F8&gt;85), "Review Required")," - ")</f>
        <v xml:space="preserve"> - </v>
      </c>
      <c r="AI8" s="11" t="str" cm="1">
        <f t="array" ref="AI8">IFERROR(_xlfn.IFS(OR(J8="Inactive", F8&gt;80), "HR Action")," - ")</f>
        <v xml:space="preserve"> - </v>
      </c>
      <c r="AJ8" s="11" t="str" cm="1">
        <f t="array" ref="AJ8">IFERROR(_xlfn.IFS(D8&gt;=12000,"High",D8&gt;=9000,"Medium"),"Low " )</f>
        <v xml:space="preserve">Low </v>
      </c>
      <c r="AK8" t="str" cm="1">
        <f t="array" ref="AK8">IFERROR(_xlfn.IFS(F8&gt;=95,"Excellent",F8&gt;=90,"Good"),"Poor" )</f>
        <v>Poor</v>
      </c>
      <c r="AL8" s="12" t="str" cm="1">
        <f t="array" ref="AL8">IFERROR(_xlfn.IFS(AND(C8="IT", H8=5,F8&gt;=90), "IT Star"), "- ")</f>
        <v xml:space="preserve">- </v>
      </c>
      <c r="AM8" s="11" t="str" cm="1">
        <f t="array" ref="AM8">IFERROR(_xlfn.IFS(OR(C8="Finance",C8="HR"),"Administration")," - ")</f>
        <v xml:space="preserve"> - </v>
      </c>
      <c r="AN8" s="11" t="str" cm="1">
        <f t="array" ref="AN8">IFERROR(_xlfn.IFS(AND(E8&gt;100000,I8="Yes", H8&gt;=4), " Employee of Month"),"- ")</f>
        <v xml:space="preserve"> Employee of Month</v>
      </c>
    </row>
    <row r="9" spans="1:40" ht="15.6" x14ac:dyDescent="0.3">
      <c r="A9" t="s">
        <v>116</v>
      </c>
      <c r="B9" t="s">
        <v>35</v>
      </c>
      <c r="C9" t="s">
        <v>23</v>
      </c>
      <c r="D9">
        <v>5635</v>
      </c>
      <c r="E9">
        <v>125000</v>
      </c>
      <c r="F9">
        <v>77</v>
      </c>
      <c r="G9">
        <v>3</v>
      </c>
      <c r="H9">
        <v>1</v>
      </c>
      <c r="I9" t="s">
        <v>17</v>
      </c>
      <c r="J9" t="s">
        <v>13</v>
      </c>
      <c r="K9" t="str">
        <f t="shared" si="3"/>
        <v>Low</v>
      </c>
      <c r="L9" t="str">
        <f t="shared" si="0"/>
        <v>Needs Improvement</v>
      </c>
      <c r="M9" t="str">
        <f t="shared" si="1"/>
        <v>Working</v>
      </c>
      <c r="N9" t="str">
        <f t="shared" si="2"/>
        <v>Bonus</v>
      </c>
      <c r="O9" t="str">
        <f t="shared" si="4"/>
        <v>Junior</v>
      </c>
      <c r="P9" t="str">
        <f t="shared" si="5"/>
        <v>Normal</v>
      </c>
      <c r="Q9" t="str">
        <f t="shared" si="6"/>
        <v>Not Achieved</v>
      </c>
      <c r="R9" t="str">
        <f t="shared" si="7"/>
        <v>Other Team</v>
      </c>
      <c r="S9" t="str">
        <f t="shared" si="8"/>
        <v>Increase Needed</v>
      </c>
      <c r="T9" t="str">
        <f>IF(Employee_Data!F9&lt;85,"Warning","Good")</f>
        <v>Warning</v>
      </c>
      <c r="U9" t="str">
        <f t="shared" si="9"/>
        <v>Average</v>
      </c>
      <c r="V9" t="str">
        <f t="shared" si="10"/>
        <v>Poor</v>
      </c>
      <c r="W9" t="str">
        <f t="shared" si="11"/>
        <v>Needs Improvement</v>
      </c>
      <c r="X9" t="str">
        <f t="shared" si="12"/>
        <v>Beginner</v>
      </c>
      <c r="Y9" t="str">
        <f t="shared" si="13"/>
        <v>Gold</v>
      </c>
      <c r="Z9" t="str">
        <f t="shared" si="14"/>
        <v>D</v>
      </c>
      <c r="AA9" t="str">
        <f t="shared" si="15"/>
        <v>Poor</v>
      </c>
      <c r="AB9" t="str">
        <f t="shared" si="16"/>
        <v>Mid</v>
      </c>
      <c r="AC9" t="str">
        <f t="shared" si="17"/>
        <v>Poor</v>
      </c>
      <c r="AD9" t="str">
        <f t="shared" si="18"/>
        <v>Best</v>
      </c>
      <c r="AE9" t="str" cm="1">
        <f t="array" ref="AE9">_xlfn.IFS(AND(D9&gt;9000, F9&gt;95), "Eligible Bonus", TRUE, "Not Eligible")</f>
        <v>Not Eligible</v>
      </c>
      <c r="AF9" s="11" t="str" cm="1">
        <f t="array" ref="AF9">IFERROR(_xlfn.IFS(AND(C9="Sales", E9&gt;120000), "Top Sales"),"- ")</f>
        <v xml:space="preserve">- </v>
      </c>
      <c r="AG9" s="11" t="str" cm="1">
        <f t="array" ref="AG9">IFERROR(_xlfn.IFS(AND(G9&gt;5, H9&gt;=4), "Promotion"),"- ")</f>
        <v xml:space="preserve">- </v>
      </c>
      <c r="AH9" s="11" t="str" cm="1">
        <f t="array" ref="AH9">IFERROR(_xlfn.IFS(OR(D9&gt;7000, F9&gt;85), "Review Required")," - ")</f>
        <v xml:space="preserve"> - </v>
      </c>
      <c r="AI9" s="11" t="str" cm="1">
        <f t="array" ref="AI9">IFERROR(_xlfn.IFS(OR(J9="Inactive", F9&gt;80), "HR Action")," - ")</f>
        <v xml:space="preserve"> - </v>
      </c>
      <c r="AJ9" s="11" t="str" cm="1">
        <f t="array" ref="AJ9">IFERROR(_xlfn.IFS(D9&gt;=12000,"High",D9&gt;=9000,"Medium"),"Low " )</f>
        <v xml:space="preserve">Low </v>
      </c>
      <c r="AK9" t="str" cm="1">
        <f t="array" ref="AK9">IFERROR(_xlfn.IFS(F9&gt;=95,"Excellent",F9&gt;=90,"Good"),"Poor" )</f>
        <v>Poor</v>
      </c>
      <c r="AL9" s="12" t="str" cm="1">
        <f t="array" ref="AL9">IFERROR(_xlfn.IFS(AND(C9="IT", H9=5,F9&gt;=90), "IT Star"), "- ")</f>
        <v xml:space="preserve">- </v>
      </c>
      <c r="AM9" s="11" t="str" cm="1">
        <f t="array" ref="AM9">IFERROR(_xlfn.IFS(OR(C9="Finance",C9="HR"),"Administration")," - ")</f>
        <v>Administration</v>
      </c>
      <c r="AN9" s="11" t="str" cm="1">
        <f t="array" ref="AN9">IFERROR(_xlfn.IFS(AND(E9&gt;100000,I9="Yes", H9&gt;=4), " Employee of Month"),"- ")</f>
        <v xml:space="preserve">- </v>
      </c>
    </row>
    <row r="10" spans="1:40" ht="15.6" x14ac:dyDescent="0.3">
      <c r="A10" t="s">
        <v>10</v>
      </c>
      <c r="B10" t="s">
        <v>11</v>
      </c>
      <c r="C10" t="s">
        <v>4</v>
      </c>
      <c r="D10">
        <v>5862</v>
      </c>
      <c r="E10">
        <v>34000</v>
      </c>
      <c r="F10">
        <v>76</v>
      </c>
      <c r="G10">
        <v>5</v>
      </c>
      <c r="H10">
        <v>3</v>
      </c>
      <c r="I10" t="s">
        <v>12</v>
      </c>
      <c r="J10" t="s">
        <v>13</v>
      </c>
      <c r="K10" t="str">
        <f t="shared" si="3"/>
        <v>Low</v>
      </c>
      <c r="L10" t="str">
        <f t="shared" si="0"/>
        <v>Needs Improvement</v>
      </c>
      <c r="M10" t="str">
        <f t="shared" si="1"/>
        <v>Working</v>
      </c>
      <c r="N10" t="str">
        <f t="shared" si="2"/>
        <v>No Bonus</v>
      </c>
      <c r="O10" t="str">
        <f t="shared" si="4"/>
        <v>Senior</v>
      </c>
      <c r="P10" t="str">
        <f t="shared" si="5"/>
        <v>Normal</v>
      </c>
      <c r="Q10" t="str">
        <f t="shared" si="6"/>
        <v>Achieved</v>
      </c>
      <c r="R10" t="str">
        <f t="shared" si="7"/>
        <v>Sales Team</v>
      </c>
      <c r="S10" t="str">
        <f t="shared" si="8"/>
        <v>Increase Needed</v>
      </c>
      <c r="T10" t="str">
        <f>IF(Employee_Data!F10&lt;85,"Warning","Good")</f>
        <v>Warning</v>
      </c>
      <c r="U10" t="str">
        <f t="shared" si="9"/>
        <v>Average</v>
      </c>
      <c r="V10" t="str">
        <f t="shared" si="10"/>
        <v>Poor</v>
      </c>
      <c r="W10" t="str">
        <f t="shared" si="11"/>
        <v>Good</v>
      </c>
      <c r="X10" t="str">
        <f t="shared" si="12"/>
        <v>Experienced</v>
      </c>
      <c r="Y10" t="str">
        <f t="shared" si="13"/>
        <v>Silver</v>
      </c>
      <c r="Z10" t="str">
        <f t="shared" si="14"/>
        <v>D</v>
      </c>
      <c r="AA10" t="str">
        <f t="shared" si="15"/>
        <v>Poor</v>
      </c>
      <c r="AB10" t="str">
        <f t="shared" si="16"/>
        <v>Senior</v>
      </c>
      <c r="AC10" t="str">
        <f t="shared" si="17"/>
        <v>Average</v>
      </c>
      <c r="AD10" t="str">
        <f t="shared" si="18"/>
        <v>Low</v>
      </c>
      <c r="AE10" t="str" cm="1">
        <f t="array" ref="AE10">_xlfn.IFS(AND(D10&gt;9000, F10&gt;95), "Eligible Bonus", TRUE, "Not Eligible")</f>
        <v>Not Eligible</v>
      </c>
      <c r="AF10" s="11" t="str" cm="1">
        <f t="array" ref="AF10">IFERROR(_xlfn.IFS(AND(C10="Sales", E10&gt;120000), "Top Sales"),"- ")</f>
        <v xml:space="preserve">- </v>
      </c>
      <c r="AG10" s="11" t="str" cm="1">
        <f t="array" ref="AG10">IFERROR(_xlfn.IFS(AND(G10&gt;5, H10&gt;=4), "Promotion"),"- ")</f>
        <v xml:space="preserve">- </v>
      </c>
      <c r="AH10" s="11" t="str" cm="1">
        <f t="array" ref="AH10">IFERROR(_xlfn.IFS(OR(D10&gt;7000, F10&gt;85), "Review Required")," - ")</f>
        <v xml:space="preserve"> - </v>
      </c>
      <c r="AI10" s="11" t="str" cm="1">
        <f t="array" ref="AI10">IFERROR(_xlfn.IFS(OR(J10="Inactive", F10&gt;80), "HR Action")," - ")</f>
        <v xml:space="preserve"> - </v>
      </c>
      <c r="AJ10" s="11" t="str" cm="1">
        <f t="array" ref="AJ10">IFERROR(_xlfn.IFS(D10&gt;=12000,"High",D10&gt;=9000,"Medium"),"Low " )</f>
        <v xml:space="preserve">Low </v>
      </c>
      <c r="AK10" t="str" cm="1">
        <f t="array" ref="AK10">IFERROR(_xlfn.IFS(F10&gt;=95,"Excellent",F10&gt;=90,"Good"),"Poor" )</f>
        <v>Poor</v>
      </c>
      <c r="AL10" s="12" t="str" cm="1">
        <f t="array" ref="AL10">IFERROR(_xlfn.IFS(AND(C10="IT", H10=5,F10&gt;=90), "IT Star"), "- ")</f>
        <v xml:space="preserve">- </v>
      </c>
      <c r="AM10" s="11" t="str" cm="1">
        <f t="array" ref="AM10">IFERROR(_xlfn.IFS(OR(C10="Finance",C10="HR"),"Administration")," - ")</f>
        <v xml:space="preserve"> - </v>
      </c>
      <c r="AN10" s="11" t="str" cm="1">
        <f t="array" ref="AN10">IFERROR(_xlfn.IFS(AND(E10&gt;100000,I10="Yes", H10&gt;=4), " Employee of Month"),"- ")</f>
        <v xml:space="preserve">- </v>
      </c>
    </row>
    <row r="11" spans="1:40" ht="15.6" x14ac:dyDescent="0.3">
      <c r="A11" t="s">
        <v>54</v>
      </c>
      <c r="B11" t="s">
        <v>31</v>
      </c>
      <c r="C11" t="s">
        <v>16</v>
      </c>
      <c r="D11">
        <v>5913</v>
      </c>
      <c r="E11">
        <v>171000</v>
      </c>
      <c r="F11">
        <v>77</v>
      </c>
      <c r="G11">
        <v>11</v>
      </c>
      <c r="H11">
        <v>4</v>
      </c>
      <c r="I11" t="s">
        <v>17</v>
      </c>
      <c r="J11" t="s">
        <v>13</v>
      </c>
      <c r="K11" t="str">
        <f t="shared" si="3"/>
        <v>Low</v>
      </c>
      <c r="L11" t="str">
        <f t="shared" si="0"/>
        <v>Needs Improvement</v>
      </c>
      <c r="M11" t="str">
        <f t="shared" si="1"/>
        <v>Working</v>
      </c>
      <c r="N11" t="str">
        <f t="shared" si="2"/>
        <v>Bonus</v>
      </c>
      <c r="O11" t="str">
        <f t="shared" si="4"/>
        <v>Senior</v>
      </c>
      <c r="P11" t="str">
        <f t="shared" si="5"/>
        <v>Normal</v>
      </c>
      <c r="Q11" t="str">
        <f t="shared" si="6"/>
        <v>Not Achieved</v>
      </c>
      <c r="R11" t="str">
        <f t="shared" si="7"/>
        <v>Other Team</v>
      </c>
      <c r="S11" t="str">
        <f t="shared" si="8"/>
        <v>Increase Needed</v>
      </c>
      <c r="T11" t="str">
        <f>IF(Employee_Data!F11&lt;85,"Warning","Good")</f>
        <v>Warning</v>
      </c>
      <c r="U11" t="str">
        <f t="shared" si="9"/>
        <v>Average</v>
      </c>
      <c r="V11" t="str">
        <f t="shared" si="10"/>
        <v>Poor</v>
      </c>
      <c r="W11" t="str">
        <f t="shared" si="11"/>
        <v>Very Good</v>
      </c>
      <c r="X11" t="str">
        <f t="shared" si="12"/>
        <v>Exper</v>
      </c>
      <c r="Y11" t="str">
        <f t="shared" si="13"/>
        <v>Platinum</v>
      </c>
      <c r="Z11" t="str">
        <f t="shared" si="14"/>
        <v>D</v>
      </c>
      <c r="AA11" t="str">
        <f t="shared" si="15"/>
        <v>Poor</v>
      </c>
      <c r="AB11" t="str">
        <f t="shared" si="16"/>
        <v>Expert</v>
      </c>
      <c r="AC11" t="str">
        <f t="shared" si="17"/>
        <v>Good</v>
      </c>
      <c r="AD11" t="str">
        <f t="shared" si="18"/>
        <v>Best</v>
      </c>
      <c r="AE11" t="str" cm="1">
        <f t="array" ref="AE11">_xlfn.IFS(AND(D11&gt;9000, F11&gt;95), "Eligible Bonus", TRUE, "Not Eligible")</f>
        <v>Not Eligible</v>
      </c>
      <c r="AF11" s="11" t="str" cm="1">
        <f t="array" ref="AF11">IFERROR(_xlfn.IFS(AND(C11="Sales", E11&gt;120000), "Top Sales"),"- ")</f>
        <v xml:space="preserve">- </v>
      </c>
      <c r="AG11" s="11" t="str" cm="1">
        <f t="array" ref="AG11">IFERROR(_xlfn.IFS(AND(G11&gt;5, H11&gt;=4), "Promotion"),"- ")</f>
        <v>Promotion</v>
      </c>
      <c r="AH11" s="11" t="str" cm="1">
        <f t="array" ref="AH11">IFERROR(_xlfn.IFS(OR(D11&gt;7000, F11&gt;85), "Review Required")," - ")</f>
        <v xml:space="preserve"> - </v>
      </c>
      <c r="AI11" s="11" t="str" cm="1">
        <f t="array" ref="AI11">IFERROR(_xlfn.IFS(OR(J11="Inactive", F11&gt;80), "HR Action")," - ")</f>
        <v xml:space="preserve"> - </v>
      </c>
      <c r="AJ11" s="11" t="str" cm="1">
        <f t="array" ref="AJ11">IFERROR(_xlfn.IFS(D11&gt;=12000,"High",D11&gt;=9000,"Medium"),"Low " )</f>
        <v xml:space="preserve">Low </v>
      </c>
      <c r="AK11" t="str" cm="1">
        <f t="array" ref="AK11">IFERROR(_xlfn.IFS(F11&gt;=95,"Excellent",F11&gt;=90,"Good"),"Poor" )</f>
        <v>Poor</v>
      </c>
      <c r="AL11" s="12" t="str" cm="1">
        <f t="array" ref="AL11">IFERROR(_xlfn.IFS(AND(C11="IT", H11=5,F11&gt;=90), "IT Star"), "- ")</f>
        <v xml:space="preserve">- </v>
      </c>
      <c r="AM11" s="11" t="str" cm="1">
        <f t="array" ref="AM11">IFERROR(_xlfn.IFS(OR(C11="Finance",C11="HR"),"Administration")," - ")</f>
        <v>Administration</v>
      </c>
      <c r="AN11" s="11" t="str" cm="1">
        <f t="array" ref="AN11">IFERROR(_xlfn.IFS(AND(E11&gt;100000,I11="Yes", H11&gt;=4), " Employee of Month"),"- ")</f>
        <v xml:space="preserve">- </v>
      </c>
    </row>
    <row r="12" spans="1:40" ht="15.6" x14ac:dyDescent="0.3">
      <c r="A12" t="s">
        <v>75</v>
      </c>
      <c r="B12" t="s">
        <v>43</v>
      </c>
      <c r="C12" t="s">
        <v>20</v>
      </c>
      <c r="D12">
        <v>5964</v>
      </c>
      <c r="E12">
        <v>88000</v>
      </c>
      <c r="F12">
        <v>78</v>
      </c>
      <c r="G12">
        <v>5</v>
      </c>
      <c r="H12">
        <v>5</v>
      </c>
      <c r="I12" t="s">
        <v>12</v>
      </c>
      <c r="J12" t="s">
        <v>13</v>
      </c>
      <c r="K12" t="str">
        <f t="shared" si="3"/>
        <v>Low</v>
      </c>
      <c r="L12" t="str">
        <f t="shared" si="0"/>
        <v>Needs Improvement</v>
      </c>
      <c r="M12" t="str">
        <f t="shared" si="1"/>
        <v>Working</v>
      </c>
      <c r="N12" t="str">
        <f t="shared" si="2"/>
        <v>No Bonus</v>
      </c>
      <c r="O12" t="str">
        <f t="shared" si="4"/>
        <v>Senior</v>
      </c>
      <c r="P12" t="str">
        <f t="shared" si="5"/>
        <v>Outstanding</v>
      </c>
      <c r="Q12" t="str">
        <f t="shared" si="6"/>
        <v>Achieved</v>
      </c>
      <c r="R12" t="str">
        <f t="shared" si="7"/>
        <v>Other Team</v>
      </c>
      <c r="S12" t="str">
        <f t="shared" si="8"/>
        <v>Increase Needed</v>
      </c>
      <c r="T12" t="str">
        <f>IF(Employee_Data!F12&lt;85,"Warning","Good")</f>
        <v>Warning</v>
      </c>
      <c r="U12" t="str">
        <f t="shared" si="9"/>
        <v>Average</v>
      </c>
      <c r="V12" t="str">
        <f t="shared" si="10"/>
        <v>Poor</v>
      </c>
      <c r="W12" t="str">
        <f t="shared" si="11"/>
        <v>Outstanding</v>
      </c>
      <c r="X12" t="str">
        <f t="shared" si="12"/>
        <v>Experienced</v>
      </c>
      <c r="Y12" t="str">
        <f t="shared" si="13"/>
        <v>Silver</v>
      </c>
      <c r="Z12" t="str">
        <f t="shared" si="14"/>
        <v>D</v>
      </c>
      <c r="AA12" t="str">
        <f t="shared" si="15"/>
        <v>Poor</v>
      </c>
      <c r="AB12" t="str">
        <f t="shared" si="16"/>
        <v>Senior</v>
      </c>
      <c r="AC12" t="str">
        <f t="shared" si="17"/>
        <v>Excellent</v>
      </c>
      <c r="AD12" t="str">
        <f t="shared" si="18"/>
        <v>Good</v>
      </c>
      <c r="AE12" t="str" cm="1">
        <f t="array" ref="AE12">_xlfn.IFS(AND(D12&gt;9000, F12&gt;95), "Eligible Bonus", TRUE, "Not Eligible")</f>
        <v>Not Eligible</v>
      </c>
      <c r="AF12" s="11" t="str" cm="1">
        <f t="array" ref="AF12">IFERROR(_xlfn.IFS(AND(C12="Sales", E12&gt;120000), "Top Sales"),"- ")</f>
        <v xml:space="preserve">- </v>
      </c>
      <c r="AG12" s="11" t="str" cm="1">
        <f t="array" ref="AG12">IFERROR(_xlfn.IFS(AND(G12&gt;5, H12&gt;=4), "Promotion"),"- ")</f>
        <v xml:space="preserve">- </v>
      </c>
      <c r="AH12" s="11" t="str" cm="1">
        <f t="array" ref="AH12">IFERROR(_xlfn.IFS(OR(D12&gt;7000, F12&gt;85), "Review Required")," - ")</f>
        <v xml:space="preserve"> - </v>
      </c>
      <c r="AI12" s="11" t="str" cm="1">
        <f t="array" ref="AI12">IFERROR(_xlfn.IFS(OR(J12="Inactive", F12&gt;80), "HR Action")," - ")</f>
        <v xml:space="preserve"> - </v>
      </c>
      <c r="AJ12" s="11" t="str" cm="1">
        <f t="array" ref="AJ12">IFERROR(_xlfn.IFS(D12&gt;=12000,"High",D12&gt;=9000,"Medium"),"Low " )</f>
        <v xml:space="preserve">Low </v>
      </c>
      <c r="AK12" t="str" cm="1">
        <f t="array" ref="AK12">IFERROR(_xlfn.IFS(F12&gt;=95,"Excellent",F12&gt;=90,"Good"),"Poor" )</f>
        <v>Poor</v>
      </c>
      <c r="AL12" s="12" t="str" cm="1">
        <f t="array" ref="AL12">IFERROR(_xlfn.IFS(AND(C12="IT", H12=5,F12&gt;=90), "IT Star"), "- ")</f>
        <v xml:space="preserve">- </v>
      </c>
      <c r="AM12" s="11" t="str" cm="1">
        <f t="array" ref="AM12">IFERROR(_xlfn.IFS(OR(C12="Finance",C12="HR"),"Administration")," - ")</f>
        <v xml:space="preserve"> - </v>
      </c>
      <c r="AN12" s="11" t="str" cm="1">
        <f t="array" ref="AN12">IFERROR(_xlfn.IFS(AND(E12&gt;100000,I12="Yes", H12&gt;=4), " Employee of Month"),"- ")</f>
        <v xml:space="preserve">- </v>
      </c>
    </row>
    <row r="13" spans="1:40" ht="15.6" x14ac:dyDescent="0.3">
      <c r="A13" t="s">
        <v>96</v>
      </c>
      <c r="B13" t="s">
        <v>22</v>
      </c>
      <c r="C13" t="s">
        <v>23</v>
      </c>
      <c r="D13">
        <v>6015</v>
      </c>
      <c r="E13">
        <v>5000</v>
      </c>
      <c r="F13">
        <v>79</v>
      </c>
      <c r="G13">
        <v>11</v>
      </c>
      <c r="H13">
        <v>1</v>
      </c>
      <c r="I13" t="s">
        <v>17</v>
      </c>
      <c r="J13" t="s">
        <v>13</v>
      </c>
      <c r="K13" t="str">
        <f t="shared" si="3"/>
        <v>Low</v>
      </c>
      <c r="L13" t="str">
        <f t="shared" si="0"/>
        <v>Needs Improvement</v>
      </c>
      <c r="M13" t="str">
        <f t="shared" si="1"/>
        <v>Working</v>
      </c>
      <c r="N13" t="str">
        <f t="shared" si="2"/>
        <v>No Bonus</v>
      </c>
      <c r="O13" t="str">
        <f t="shared" si="4"/>
        <v>Senior</v>
      </c>
      <c r="P13" t="str">
        <f t="shared" si="5"/>
        <v>Normal</v>
      </c>
      <c r="Q13" t="str">
        <f t="shared" si="6"/>
        <v>Not Achieved</v>
      </c>
      <c r="R13" t="str">
        <f t="shared" si="7"/>
        <v>Other Team</v>
      </c>
      <c r="S13" t="str">
        <f t="shared" si="8"/>
        <v>Increase Needed</v>
      </c>
      <c r="T13" t="str">
        <f>IF(Employee_Data!F13&lt;85,"Warning","Good")</f>
        <v>Warning</v>
      </c>
      <c r="U13" t="str">
        <f t="shared" si="9"/>
        <v>Average</v>
      </c>
      <c r="V13" t="str">
        <f t="shared" si="10"/>
        <v>Poor</v>
      </c>
      <c r="W13" t="str">
        <f t="shared" si="11"/>
        <v>Needs Improvement</v>
      </c>
      <c r="X13" t="str">
        <f t="shared" si="12"/>
        <v>Exper</v>
      </c>
      <c r="Y13" t="str">
        <f t="shared" si="13"/>
        <v>Silver</v>
      </c>
      <c r="Z13" t="str">
        <f t="shared" si="14"/>
        <v>D</v>
      </c>
      <c r="AA13" t="str">
        <f t="shared" si="15"/>
        <v>Poor</v>
      </c>
      <c r="AB13" t="str">
        <f t="shared" si="16"/>
        <v>Expert</v>
      </c>
      <c r="AC13" t="str">
        <f t="shared" si="17"/>
        <v>Poor</v>
      </c>
      <c r="AD13" t="str">
        <f t="shared" si="18"/>
        <v>Low</v>
      </c>
      <c r="AE13" t="str" cm="1">
        <f t="array" ref="AE13">_xlfn.IFS(AND(D13&gt;9000, F13&gt;95), "Eligible Bonus", TRUE, "Not Eligible")</f>
        <v>Not Eligible</v>
      </c>
      <c r="AF13" s="11" t="str" cm="1">
        <f t="array" ref="AF13">IFERROR(_xlfn.IFS(AND(C13="Sales", E13&gt;120000), "Top Sales"),"- ")</f>
        <v xml:space="preserve">- </v>
      </c>
      <c r="AG13" s="11" t="str" cm="1">
        <f t="array" ref="AG13">IFERROR(_xlfn.IFS(AND(G13&gt;5, H13&gt;=4), "Promotion"),"- ")</f>
        <v xml:space="preserve">- </v>
      </c>
      <c r="AH13" s="11" t="str" cm="1">
        <f t="array" ref="AH13">IFERROR(_xlfn.IFS(OR(D13&gt;7000, F13&gt;85), "Review Required")," - ")</f>
        <v xml:space="preserve"> - </v>
      </c>
      <c r="AI13" s="11" t="str" cm="1">
        <f t="array" ref="AI13">IFERROR(_xlfn.IFS(OR(J13="Inactive", F13&gt;80), "HR Action")," - ")</f>
        <v xml:space="preserve"> - </v>
      </c>
      <c r="AJ13" s="11" t="str" cm="1">
        <f t="array" ref="AJ13">IFERROR(_xlfn.IFS(D13&gt;=12000,"High",D13&gt;=9000,"Medium"),"Low " )</f>
        <v xml:space="preserve">Low </v>
      </c>
      <c r="AK13" t="str" cm="1">
        <f t="array" ref="AK13">IFERROR(_xlfn.IFS(F13&gt;=95,"Excellent",F13&gt;=90,"Good"),"Poor" )</f>
        <v>Poor</v>
      </c>
      <c r="AL13" s="12" t="str" cm="1">
        <f t="array" ref="AL13">IFERROR(_xlfn.IFS(AND(C13="IT", H13=5,F13&gt;=90), "IT Star"), "- ")</f>
        <v xml:space="preserve">- </v>
      </c>
      <c r="AM13" s="11" t="str" cm="1">
        <f t="array" ref="AM13">IFERROR(_xlfn.IFS(OR(C13="Finance",C13="HR"),"Administration")," - ")</f>
        <v>Administration</v>
      </c>
      <c r="AN13" s="11" t="str" cm="1">
        <f t="array" ref="AN13">IFERROR(_xlfn.IFS(AND(E13&gt;100000,I13="Yes", H13&gt;=4), " Employee of Month"),"- ")</f>
        <v xml:space="preserve">- </v>
      </c>
    </row>
    <row r="14" spans="1:40" ht="15.6" x14ac:dyDescent="0.3">
      <c r="A14" t="s">
        <v>117</v>
      </c>
      <c r="B14" t="s">
        <v>37</v>
      </c>
      <c r="C14" t="s">
        <v>26</v>
      </c>
      <c r="D14">
        <v>6066</v>
      </c>
      <c r="E14">
        <v>142000</v>
      </c>
      <c r="F14">
        <v>80</v>
      </c>
      <c r="G14">
        <v>5</v>
      </c>
      <c r="H14">
        <v>2</v>
      </c>
      <c r="I14" t="s">
        <v>12</v>
      </c>
      <c r="J14" t="s">
        <v>13</v>
      </c>
      <c r="K14" t="str">
        <f t="shared" si="3"/>
        <v>Low</v>
      </c>
      <c r="L14" t="str">
        <f t="shared" si="0"/>
        <v>Needs Improvement</v>
      </c>
      <c r="M14" t="str">
        <f t="shared" si="1"/>
        <v>Working</v>
      </c>
      <c r="N14" t="str">
        <f t="shared" si="2"/>
        <v>Bonus</v>
      </c>
      <c r="O14" t="str">
        <f t="shared" si="4"/>
        <v>Senior</v>
      </c>
      <c r="P14" t="str">
        <f t="shared" si="5"/>
        <v>Normal</v>
      </c>
      <c r="Q14" t="str">
        <f t="shared" si="6"/>
        <v>Achieved</v>
      </c>
      <c r="R14" t="str">
        <f t="shared" si="7"/>
        <v>Other Team</v>
      </c>
      <c r="S14" t="str">
        <f t="shared" si="8"/>
        <v>Increase Needed</v>
      </c>
      <c r="T14" t="str">
        <f>IF(Employee_Data!F14&lt;85,"Warning","Good")</f>
        <v>Warning</v>
      </c>
      <c r="U14" t="str">
        <f t="shared" si="9"/>
        <v>Average</v>
      </c>
      <c r="V14" t="str">
        <f t="shared" si="10"/>
        <v>Poor</v>
      </c>
      <c r="W14" t="str">
        <f t="shared" si="11"/>
        <v>Needs Improvement</v>
      </c>
      <c r="X14" t="str">
        <f t="shared" si="12"/>
        <v>Experienced</v>
      </c>
      <c r="Y14" t="str">
        <f t="shared" si="13"/>
        <v>Gold</v>
      </c>
      <c r="Z14" t="str">
        <f t="shared" si="14"/>
        <v>D</v>
      </c>
      <c r="AA14" t="str">
        <f t="shared" si="15"/>
        <v>Fair</v>
      </c>
      <c r="AB14" t="str">
        <f t="shared" si="16"/>
        <v>Senior</v>
      </c>
      <c r="AC14" t="str">
        <f t="shared" si="17"/>
        <v>Average</v>
      </c>
      <c r="AD14" t="str">
        <f t="shared" si="18"/>
        <v>Best</v>
      </c>
      <c r="AE14" t="str" cm="1">
        <f t="array" ref="AE14">_xlfn.IFS(AND(D14&gt;9000, F14&gt;95), "Eligible Bonus", TRUE, "Not Eligible")</f>
        <v>Not Eligible</v>
      </c>
      <c r="AF14" s="11" t="str" cm="1">
        <f t="array" ref="AF14">IFERROR(_xlfn.IFS(AND(C14="Sales", E14&gt;120000), "Top Sales"),"- ")</f>
        <v xml:space="preserve">- </v>
      </c>
      <c r="AG14" s="11" t="str" cm="1">
        <f t="array" ref="AG14">IFERROR(_xlfn.IFS(AND(G14&gt;5, H14&gt;=4), "Promotion"),"- ")</f>
        <v xml:space="preserve">- </v>
      </c>
      <c r="AH14" s="11" t="str" cm="1">
        <f t="array" ref="AH14">IFERROR(_xlfn.IFS(OR(D14&gt;7000, F14&gt;85), "Review Required")," - ")</f>
        <v xml:space="preserve"> - </v>
      </c>
      <c r="AI14" s="11" t="str" cm="1">
        <f t="array" ref="AI14">IFERROR(_xlfn.IFS(OR(J14="Inactive", F14&gt;80), "HR Action")," - ")</f>
        <v xml:space="preserve"> - </v>
      </c>
      <c r="AJ14" s="11" t="str" cm="1">
        <f t="array" ref="AJ14">IFERROR(_xlfn.IFS(D14&gt;=12000,"High",D14&gt;=9000,"Medium"),"Low " )</f>
        <v xml:space="preserve">Low </v>
      </c>
      <c r="AK14" t="str" cm="1">
        <f t="array" ref="AK14">IFERROR(_xlfn.IFS(F14&gt;=95,"Excellent",F14&gt;=90,"Good"),"Poor" )</f>
        <v>Poor</v>
      </c>
      <c r="AL14" s="12" t="str" cm="1">
        <f t="array" ref="AL14">IFERROR(_xlfn.IFS(AND(C14="IT", H14=5,F14&gt;=90), "IT Star"), "- ")</f>
        <v xml:space="preserve">- </v>
      </c>
      <c r="AM14" s="11" t="str" cm="1">
        <f t="array" ref="AM14">IFERROR(_xlfn.IFS(OR(C14="Finance",C14="HR"),"Administration")," - ")</f>
        <v xml:space="preserve"> - </v>
      </c>
      <c r="AN14" s="11" t="str" cm="1">
        <f t="array" ref="AN14">IFERROR(_xlfn.IFS(AND(E14&gt;100000,I14="Yes", H14&gt;=4), " Employee of Month"),"- ")</f>
        <v xml:space="preserve">- </v>
      </c>
    </row>
    <row r="15" spans="1:40" ht="15.6" x14ac:dyDescent="0.3">
      <c r="A15" t="s">
        <v>14</v>
      </c>
      <c r="B15" t="s">
        <v>15</v>
      </c>
      <c r="C15" t="s">
        <v>16</v>
      </c>
      <c r="D15">
        <v>6293</v>
      </c>
      <c r="E15">
        <v>51000</v>
      </c>
      <c r="F15">
        <v>79</v>
      </c>
      <c r="G15">
        <v>7</v>
      </c>
      <c r="H15">
        <v>4</v>
      </c>
      <c r="I15" t="s">
        <v>17</v>
      </c>
      <c r="J15" t="s">
        <v>13</v>
      </c>
      <c r="K15" t="str">
        <f t="shared" si="3"/>
        <v>Low</v>
      </c>
      <c r="L15" t="str">
        <f t="shared" si="0"/>
        <v>Needs Improvement</v>
      </c>
      <c r="M15" t="str">
        <f t="shared" si="1"/>
        <v>Working</v>
      </c>
      <c r="N15" t="str">
        <f t="shared" si="2"/>
        <v>No Bonus</v>
      </c>
      <c r="O15" t="str">
        <f t="shared" si="4"/>
        <v>Senior</v>
      </c>
      <c r="P15" t="str">
        <f t="shared" si="5"/>
        <v>Normal</v>
      </c>
      <c r="Q15" t="str">
        <f t="shared" si="6"/>
        <v>Not Achieved</v>
      </c>
      <c r="R15" t="str">
        <f t="shared" si="7"/>
        <v>Other Team</v>
      </c>
      <c r="S15" t="str">
        <f t="shared" si="8"/>
        <v>Increase Needed</v>
      </c>
      <c r="T15" t="str">
        <f>IF(Employee_Data!F15&lt;85,"Warning","Good")</f>
        <v>Warning</v>
      </c>
      <c r="U15" t="str">
        <f t="shared" si="9"/>
        <v>Average</v>
      </c>
      <c r="V15" t="str">
        <f t="shared" si="10"/>
        <v>Poor</v>
      </c>
      <c r="W15" t="str">
        <f t="shared" si="11"/>
        <v>Very Good</v>
      </c>
      <c r="X15" t="str">
        <f t="shared" si="12"/>
        <v>Experienced</v>
      </c>
      <c r="Y15" t="str">
        <f t="shared" si="13"/>
        <v>Silver</v>
      </c>
      <c r="Z15" t="str">
        <f t="shared" si="14"/>
        <v>D</v>
      </c>
      <c r="AA15" t="str">
        <f t="shared" si="15"/>
        <v>Poor</v>
      </c>
      <c r="AB15" t="str">
        <f t="shared" si="16"/>
        <v>Senior</v>
      </c>
      <c r="AC15" t="str">
        <f t="shared" si="17"/>
        <v>Good</v>
      </c>
      <c r="AD15" t="str">
        <f t="shared" si="18"/>
        <v>Low</v>
      </c>
      <c r="AE15" t="str" cm="1">
        <f t="array" ref="AE15">_xlfn.IFS(AND(D15&gt;9000, F15&gt;95), "Eligible Bonus", TRUE, "Not Eligible")</f>
        <v>Not Eligible</v>
      </c>
      <c r="AF15" s="11" t="str" cm="1">
        <f t="array" ref="AF15">IFERROR(_xlfn.IFS(AND(C15="Sales", E15&gt;120000), "Top Sales"),"- ")</f>
        <v xml:space="preserve">- </v>
      </c>
      <c r="AG15" s="11" t="str" cm="1">
        <f t="array" ref="AG15">IFERROR(_xlfn.IFS(AND(G15&gt;5, H15&gt;=4), "Promotion"),"- ")</f>
        <v>Promotion</v>
      </c>
      <c r="AH15" s="11" t="str" cm="1">
        <f t="array" ref="AH15">IFERROR(_xlfn.IFS(OR(D15&gt;7000, F15&gt;85), "Review Required")," - ")</f>
        <v xml:space="preserve"> - </v>
      </c>
      <c r="AI15" s="11" t="str" cm="1">
        <f t="array" ref="AI15">IFERROR(_xlfn.IFS(OR(J15="Inactive", F15&gt;80), "HR Action")," - ")</f>
        <v xml:space="preserve"> - </v>
      </c>
      <c r="AJ15" s="11" t="str" cm="1">
        <f t="array" ref="AJ15">IFERROR(_xlfn.IFS(D15&gt;=12000,"High",D15&gt;=9000,"Medium"),"Low " )</f>
        <v xml:space="preserve">Low </v>
      </c>
      <c r="AK15" t="str" cm="1">
        <f t="array" ref="AK15">IFERROR(_xlfn.IFS(F15&gt;=95,"Excellent",F15&gt;=90,"Good"),"Poor" )</f>
        <v>Poor</v>
      </c>
      <c r="AL15" s="12" t="str" cm="1">
        <f t="array" ref="AL15">IFERROR(_xlfn.IFS(AND(C15="IT", H15=5,F15&gt;=90), "IT Star"), "- ")</f>
        <v xml:space="preserve">- </v>
      </c>
      <c r="AM15" s="11" t="str" cm="1">
        <f t="array" ref="AM15">IFERROR(_xlfn.IFS(OR(C15="Finance",C15="HR"),"Administration")," - ")</f>
        <v>Administration</v>
      </c>
      <c r="AN15" s="11" t="str" cm="1">
        <f t="array" ref="AN15">IFERROR(_xlfn.IFS(AND(E15&gt;100000,I15="Yes", H15&gt;=4), " Employee of Month"),"- ")</f>
        <v xml:space="preserve">- </v>
      </c>
    </row>
    <row r="16" spans="1:40" ht="15.6" x14ac:dyDescent="0.3">
      <c r="A16" t="s">
        <v>55</v>
      </c>
      <c r="B16" t="s">
        <v>33</v>
      </c>
      <c r="C16" t="s">
        <v>20</v>
      </c>
      <c r="D16">
        <v>6344</v>
      </c>
      <c r="E16">
        <v>188000</v>
      </c>
      <c r="F16">
        <v>80</v>
      </c>
      <c r="G16">
        <v>1</v>
      </c>
      <c r="H16">
        <v>5</v>
      </c>
      <c r="I16" t="s">
        <v>12</v>
      </c>
      <c r="J16" t="s">
        <v>13</v>
      </c>
      <c r="K16" t="str">
        <f t="shared" si="3"/>
        <v>Low</v>
      </c>
      <c r="L16" t="str">
        <f t="shared" si="0"/>
        <v>Needs Improvement</v>
      </c>
      <c r="M16" t="str">
        <f t="shared" si="1"/>
        <v>Working</v>
      </c>
      <c r="N16" t="str">
        <f t="shared" si="2"/>
        <v>Bonus</v>
      </c>
      <c r="O16" t="str">
        <f t="shared" si="4"/>
        <v>Junior</v>
      </c>
      <c r="P16" t="str">
        <f t="shared" si="5"/>
        <v>Outstanding</v>
      </c>
      <c r="Q16" t="str">
        <f t="shared" si="6"/>
        <v>Achieved</v>
      </c>
      <c r="R16" t="str">
        <f t="shared" si="7"/>
        <v>Other Team</v>
      </c>
      <c r="S16" t="str">
        <f t="shared" si="8"/>
        <v>Increase Needed</v>
      </c>
      <c r="T16" t="str">
        <f>IF(Employee_Data!F16&lt;85,"Warning","Good")</f>
        <v>Warning</v>
      </c>
      <c r="U16" t="str">
        <f t="shared" si="9"/>
        <v>Average</v>
      </c>
      <c r="V16" t="str">
        <f t="shared" si="10"/>
        <v>Poor</v>
      </c>
      <c r="W16" t="str">
        <f t="shared" si="11"/>
        <v>Outstanding</v>
      </c>
      <c r="X16" t="str">
        <f t="shared" si="12"/>
        <v>Beginner</v>
      </c>
      <c r="Y16" t="str">
        <f t="shared" si="13"/>
        <v>Platinum</v>
      </c>
      <c r="Z16" t="str">
        <f t="shared" si="14"/>
        <v>D</v>
      </c>
      <c r="AA16" t="str">
        <f t="shared" si="15"/>
        <v>Fair</v>
      </c>
      <c r="AB16" t="str">
        <f t="shared" si="16"/>
        <v>Junior</v>
      </c>
      <c r="AC16" t="str">
        <f t="shared" si="17"/>
        <v>Excellent</v>
      </c>
      <c r="AD16" t="str">
        <f t="shared" si="18"/>
        <v>Top</v>
      </c>
      <c r="AE16" t="str" cm="1">
        <f t="array" ref="AE16">_xlfn.IFS(AND(D16&gt;9000, F16&gt;95), "Eligible Bonus", TRUE, "Not Eligible")</f>
        <v>Not Eligible</v>
      </c>
      <c r="AF16" s="11" t="str" cm="1">
        <f t="array" ref="AF16">IFERROR(_xlfn.IFS(AND(C16="Sales", E16&gt;120000), "Top Sales"),"- ")</f>
        <v xml:space="preserve">- </v>
      </c>
      <c r="AG16" s="11" t="str" cm="1">
        <f t="array" ref="AG16">IFERROR(_xlfn.IFS(AND(G16&gt;5, H16&gt;=4), "Promotion"),"- ")</f>
        <v xml:space="preserve">- </v>
      </c>
      <c r="AH16" s="11" t="str" cm="1">
        <f t="array" ref="AH16">IFERROR(_xlfn.IFS(OR(D16&gt;7000, F16&gt;85), "Review Required")," - ")</f>
        <v xml:space="preserve"> - </v>
      </c>
      <c r="AI16" s="11" t="str" cm="1">
        <f t="array" ref="AI16">IFERROR(_xlfn.IFS(OR(J16="Inactive", F16&gt;80), "HR Action")," - ")</f>
        <v xml:space="preserve"> - </v>
      </c>
      <c r="AJ16" s="11" t="str" cm="1">
        <f t="array" ref="AJ16">IFERROR(_xlfn.IFS(D16&gt;=12000,"High",D16&gt;=9000,"Medium"),"Low " )</f>
        <v xml:space="preserve">Low </v>
      </c>
      <c r="AK16" t="str" cm="1">
        <f t="array" ref="AK16">IFERROR(_xlfn.IFS(F16&gt;=95,"Excellent",F16&gt;=90,"Good"),"Poor" )</f>
        <v>Poor</v>
      </c>
      <c r="AL16" s="12" t="str" cm="1">
        <f t="array" ref="AL16">IFERROR(_xlfn.IFS(AND(C16="IT", H16=5,F16&gt;=90), "IT Star"), "- ")</f>
        <v xml:space="preserve">- </v>
      </c>
      <c r="AM16" s="11" t="str" cm="1">
        <f t="array" ref="AM16">IFERROR(_xlfn.IFS(OR(C16="Finance",C16="HR"),"Administration")," - ")</f>
        <v xml:space="preserve"> - </v>
      </c>
      <c r="AN16" s="11" t="str" cm="1">
        <f t="array" ref="AN16">IFERROR(_xlfn.IFS(AND(E16&gt;100000,I16="Yes", H16&gt;=4), " Employee of Month"),"- ")</f>
        <v xml:space="preserve"> Employee of Month</v>
      </c>
    </row>
    <row r="17" spans="1:40" ht="15.6" x14ac:dyDescent="0.3">
      <c r="A17" t="s">
        <v>76</v>
      </c>
      <c r="B17" t="s">
        <v>45</v>
      </c>
      <c r="C17" t="s">
        <v>23</v>
      </c>
      <c r="D17">
        <v>6395</v>
      </c>
      <c r="E17">
        <v>105000</v>
      </c>
      <c r="F17">
        <v>81</v>
      </c>
      <c r="G17">
        <v>7</v>
      </c>
      <c r="H17">
        <v>1</v>
      </c>
      <c r="I17" t="s">
        <v>17</v>
      </c>
      <c r="J17" t="s">
        <v>13</v>
      </c>
      <c r="K17" t="str">
        <f t="shared" si="3"/>
        <v>Low</v>
      </c>
      <c r="L17" t="str">
        <f t="shared" si="0"/>
        <v>Needs Improvement</v>
      </c>
      <c r="M17" t="str">
        <f t="shared" si="1"/>
        <v>Working</v>
      </c>
      <c r="N17" t="str">
        <f t="shared" si="2"/>
        <v>Bonus</v>
      </c>
      <c r="O17" t="str">
        <f t="shared" si="4"/>
        <v>Senior</v>
      </c>
      <c r="P17" t="str">
        <f t="shared" si="5"/>
        <v>Normal</v>
      </c>
      <c r="Q17" t="str">
        <f t="shared" si="6"/>
        <v>Not Achieved</v>
      </c>
      <c r="R17" t="str">
        <f t="shared" si="7"/>
        <v>Other Team</v>
      </c>
      <c r="S17" t="str">
        <f t="shared" si="8"/>
        <v>Increase Needed</v>
      </c>
      <c r="T17" t="str">
        <f>IF(Employee_Data!F17&lt;85,"Warning","Good")</f>
        <v>Warning</v>
      </c>
      <c r="U17" t="str">
        <f t="shared" si="9"/>
        <v>Average</v>
      </c>
      <c r="V17" t="str">
        <f t="shared" si="10"/>
        <v>Poor</v>
      </c>
      <c r="W17" t="str">
        <f t="shared" si="11"/>
        <v>Needs Improvement</v>
      </c>
      <c r="X17" t="str">
        <f t="shared" si="12"/>
        <v>Experienced</v>
      </c>
      <c r="Y17" t="str">
        <f t="shared" si="13"/>
        <v>Gold</v>
      </c>
      <c r="Z17" t="str">
        <f t="shared" si="14"/>
        <v>D</v>
      </c>
      <c r="AA17" t="str">
        <f t="shared" si="15"/>
        <v>Fair</v>
      </c>
      <c r="AB17" t="str">
        <f t="shared" si="16"/>
        <v>Senior</v>
      </c>
      <c r="AC17" t="str">
        <f t="shared" si="17"/>
        <v>Poor</v>
      </c>
      <c r="AD17" t="str">
        <f t="shared" si="18"/>
        <v>Good</v>
      </c>
      <c r="AE17" t="str" cm="1">
        <f t="array" ref="AE17">_xlfn.IFS(AND(D17&gt;9000, F17&gt;95), "Eligible Bonus", TRUE, "Not Eligible")</f>
        <v>Not Eligible</v>
      </c>
      <c r="AF17" s="11" t="str" cm="1">
        <f t="array" ref="AF17">IFERROR(_xlfn.IFS(AND(C17="Sales", E17&gt;120000), "Top Sales"),"- ")</f>
        <v xml:space="preserve">- </v>
      </c>
      <c r="AG17" s="11" t="str" cm="1">
        <f t="array" ref="AG17">IFERROR(_xlfn.IFS(AND(G17&gt;5, H17&gt;=4), "Promotion"),"- ")</f>
        <v xml:space="preserve">- </v>
      </c>
      <c r="AH17" s="11" t="str" cm="1">
        <f t="array" ref="AH17">IFERROR(_xlfn.IFS(OR(D17&gt;7000, F17&gt;85), "Review Required")," - ")</f>
        <v xml:space="preserve"> - </v>
      </c>
      <c r="AI17" s="11" t="str" cm="1">
        <f t="array" ref="AI17">IFERROR(_xlfn.IFS(OR(J17="Inactive", F17&gt;80), "HR Action")," - ")</f>
        <v>HR Action</v>
      </c>
      <c r="AJ17" s="11" t="str" cm="1">
        <f t="array" ref="AJ17">IFERROR(_xlfn.IFS(D17&gt;=12000,"High",D17&gt;=9000,"Medium"),"Low " )</f>
        <v xml:space="preserve">Low </v>
      </c>
      <c r="AK17" t="str" cm="1">
        <f t="array" ref="AK17">IFERROR(_xlfn.IFS(F17&gt;=95,"Excellent",F17&gt;=90,"Good"),"Poor" )</f>
        <v>Poor</v>
      </c>
      <c r="AL17" s="12" t="str" cm="1">
        <f t="array" ref="AL17">IFERROR(_xlfn.IFS(AND(C17="IT", H17=5,F17&gt;=90), "IT Star"), "- ")</f>
        <v xml:space="preserve">- </v>
      </c>
      <c r="AM17" s="11" t="str" cm="1">
        <f t="array" ref="AM17">IFERROR(_xlfn.IFS(OR(C17="Finance",C17="HR"),"Administration")," - ")</f>
        <v>Administration</v>
      </c>
      <c r="AN17" s="11" t="str" cm="1">
        <f t="array" ref="AN17">IFERROR(_xlfn.IFS(AND(E17&gt;100000,I17="Yes", H17&gt;=4), " Employee of Month"),"- ")</f>
        <v xml:space="preserve">- </v>
      </c>
    </row>
    <row r="18" spans="1:40" ht="15.6" x14ac:dyDescent="0.3">
      <c r="A18" t="s">
        <v>97</v>
      </c>
      <c r="B18" t="s">
        <v>25</v>
      </c>
      <c r="C18" t="s">
        <v>26</v>
      </c>
      <c r="D18">
        <v>6446</v>
      </c>
      <c r="E18">
        <v>22000</v>
      </c>
      <c r="F18">
        <v>82</v>
      </c>
      <c r="G18">
        <v>1</v>
      </c>
      <c r="H18">
        <v>2</v>
      </c>
      <c r="I18" t="s">
        <v>12</v>
      </c>
      <c r="J18" t="s">
        <v>13</v>
      </c>
      <c r="K18" t="str">
        <f t="shared" si="3"/>
        <v>Low</v>
      </c>
      <c r="L18" t="str">
        <f t="shared" si="0"/>
        <v>Needs Improvement</v>
      </c>
      <c r="M18" t="str">
        <f t="shared" si="1"/>
        <v>Working</v>
      </c>
      <c r="N18" t="str">
        <f t="shared" si="2"/>
        <v>No Bonus</v>
      </c>
      <c r="O18" t="str">
        <f t="shared" si="4"/>
        <v>Junior</v>
      </c>
      <c r="P18" t="str">
        <f t="shared" si="5"/>
        <v>Normal</v>
      </c>
      <c r="Q18" t="str">
        <f t="shared" si="6"/>
        <v>Achieved</v>
      </c>
      <c r="R18" t="str">
        <f t="shared" si="7"/>
        <v>Other Team</v>
      </c>
      <c r="S18" t="str">
        <f t="shared" si="8"/>
        <v>Increase Needed</v>
      </c>
      <c r="T18" t="str">
        <f>IF(Employee_Data!F18&lt;85,"Warning","Good")</f>
        <v>Warning</v>
      </c>
      <c r="U18" t="str">
        <f t="shared" si="9"/>
        <v>Average</v>
      </c>
      <c r="V18" t="str">
        <f t="shared" si="10"/>
        <v>Poor</v>
      </c>
      <c r="W18" t="str">
        <f t="shared" si="11"/>
        <v>Needs Improvement</v>
      </c>
      <c r="X18" t="str">
        <f t="shared" si="12"/>
        <v>Beginner</v>
      </c>
      <c r="Y18" t="str">
        <f t="shared" si="13"/>
        <v>Silver</v>
      </c>
      <c r="Z18" t="str">
        <f t="shared" si="14"/>
        <v>D</v>
      </c>
      <c r="AA18" t="str">
        <f t="shared" si="15"/>
        <v>Fair</v>
      </c>
      <c r="AB18" t="str">
        <f t="shared" si="16"/>
        <v>Junior</v>
      </c>
      <c r="AC18" t="str">
        <f t="shared" si="17"/>
        <v>Average</v>
      </c>
      <c r="AD18" t="str">
        <f t="shared" si="18"/>
        <v>Low</v>
      </c>
      <c r="AE18" t="str" cm="1">
        <f t="array" ref="AE18">_xlfn.IFS(AND(D18&gt;9000, F18&gt;95), "Eligible Bonus", TRUE, "Not Eligible")</f>
        <v>Not Eligible</v>
      </c>
      <c r="AF18" s="11" t="str" cm="1">
        <f t="array" ref="AF18">IFERROR(_xlfn.IFS(AND(C18="Sales", E18&gt;120000), "Top Sales"),"- ")</f>
        <v xml:space="preserve">- </v>
      </c>
      <c r="AG18" s="11" t="str" cm="1">
        <f t="array" ref="AG18">IFERROR(_xlfn.IFS(AND(G18&gt;5, H18&gt;=4), "Promotion"),"- ")</f>
        <v xml:space="preserve">- </v>
      </c>
      <c r="AH18" s="11" t="str" cm="1">
        <f t="array" ref="AH18">IFERROR(_xlfn.IFS(OR(D18&gt;7000, F18&gt;85), "Review Required")," - ")</f>
        <v xml:space="preserve"> - </v>
      </c>
      <c r="AI18" s="11" t="str" cm="1">
        <f t="array" ref="AI18">IFERROR(_xlfn.IFS(OR(J18="Inactive", F18&gt;80), "HR Action")," - ")</f>
        <v>HR Action</v>
      </c>
      <c r="AJ18" s="11" t="str" cm="1">
        <f t="array" ref="AJ18">IFERROR(_xlfn.IFS(D18&gt;=12000,"High",D18&gt;=9000,"Medium"),"Low " )</f>
        <v xml:space="preserve">Low </v>
      </c>
      <c r="AK18" t="str" cm="1">
        <f t="array" ref="AK18">IFERROR(_xlfn.IFS(F18&gt;=95,"Excellent",F18&gt;=90,"Good"),"Poor" )</f>
        <v>Poor</v>
      </c>
      <c r="AL18" s="12" t="str" cm="1">
        <f t="array" ref="AL18">IFERROR(_xlfn.IFS(AND(C18="IT", H18=5,F18&gt;=90), "IT Star"), "- ")</f>
        <v xml:space="preserve">- </v>
      </c>
      <c r="AM18" s="11" t="str" cm="1">
        <f t="array" ref="AM18">IFERROR(_xlfn.IFS(OR(C18="Finance",C18="HR"),"Administration")," - ")</f>
        <v xml:space="preserve"> - </v>
      </c>
      <c r="AN18" s="11" t="str" cm="1">
        <f t="array" ref="AN18">IFERROR(_xlfn.IFS(AND(E18&gt;100000,I18="Yes", H18&gt;=4), " Employee of Month"),"- ")</f>
        <v xml:space="preserve">- </v>
      </c>
    </row>
    <row r="19" spans="1:40" ht="15.6" x14ac:dyDescent="0.3">
      <c r="A19" t="s">
        <v>118</v>
      </c>
      <c r="B19" t="s">
        <v>39</v>
      </c>
      <c r="C19" t="s">
        <v>4</v>
      </c>
      <c r="D19">
        <v>6497</v>
      </c>
      <c r="E19">
        <v>159000</v>
      </c>
      <c r="F19">
        <v>83</v>
      </c>
      <c r="G19">
        <v>7</v>
      </c>
      <c r="H19">
        <v>3</v>
      </c>
      <c r="I19" t="s">
        <v>17</v>
      </c>
      <c r="J19" t="s">
        <v>13</v>
      </c>
      <c r="K19" t="str">
        <f t="shared" si="3"/>
        <v>Low</v>
      </c>
      <c r="L19" t="str">
        <f t="shared" si="0"/>
        <v>Needs Improvement</v>
      </c>
      <c r="M19" t="str">
        <f t="shared" si="1"/>
        <v>Working</v>
      </c>
      <c r="N19" t="str">
        <f t="shared" si="2"/>
        <v>Bonus</v>
      </c>
      <c r="O19" t="str">
        <f t="shared" si="4"/>
        <v>Senior</v>
      </c>
      <c r="P19" t="str">
        <f t="shared" si="5"/>
        <v>Normal</v>
      </c>
      <c r="Q19" t="str">
        <f t="shared" si="6"/>
        <v>Not Achieved</v>
      </c>
      <c r="R19" t="str">
        <f t="shared" si="7"/>
        <v>Sales Team</v>
      </c>
      <c r="S19" t="str">
        <f t="shared" si="8"/>
        <v>Increase Needed</v>
      </c>
      <c r="T19" t="str">
        <f>IF(Employee_Data!F19&lt;85,"Warning","Good")</f>
        <v>Warning</v>
      </c>
      <c r="U19" t="str">
        <f t="shared" si="9"/>
        <v>Average</v>
      </c>
      <c r="V19" t="str">
        <f t="shared" si="10"/>
        <v>Poor</v>
      </c>
      <c r="W19" t="str">
        <f t="shared" si="11"/>
        <v>Good</v>
      </c>
      <c r="X19" t="str">
        <f t="shared" si="12"/>
        <v>Experienced</v>
      </c>
      <c r="Y19" t="str">
        <f t="shared" si="13"/>
        <v>Platinum</v>
      </c>
      <c r="Z19" t="str">
        <f t="shared" si="14"/>
        <v>D</v>
      </c>
      <c r="AA19" t="str">
        <f t="shared" si="15"/>
        <v>Fair</v>
      </c>
      <c r="AB19" t="str">
        <f t="shared" si="16"/>
        <v>Senior</v>
      </c>
      <c r="AC19" t="str">
        <f t="shared" si="17"/>
        <v>Average</v>
      </c>
      <c r="AD19" t="str">
        <f t="shared" si="18"/>
        <v>Best</v>
      </c>
      <c r="AE19" t="str" cm="1">
        <f t="array" ref="AE19">_xlfn.IFS(AND(D19&gt;9000, F19&gt;95), "Eligible Bonus", TRUE, "Not Eligible")</f>
        <v>Not Eligible</v>
      </c>
      <c r="AF19" s="11" t="str" cm="1">
        <f t="array" ref="AF19">IFERROR(_xlfn.IFS(AND(C19="Sales", E19&gt;120000), "Top Sales"),"- ")</f>
        <v>Top Sales</v>
      </c>
      <c r="AG19" s="11" t="str" cm="1">
        <f t="array" ref="AG19">IFERROR(_xlfn.IFS(AND(G19&gt;5, H19&gt;=4), "Promotion"),"- ")</f>
        <v xml:space="preserve">- </v>
      </c>
      <c r="AH19" s="11" t="str" cm="1">
        <f t="array" ref="AH19">IFERROR(_xlfn.IFS(OR(D19&gt;7000, F19&gt;85), "Review Required")," - ")</f>
        <v xml:space="preserve"> - </v>
      </c>
      <c r="AI19" s="11" t="str" cm="1">
        <f t="array" ref="AI19">IFERROR(_xlfn.IFS(OR(J19="Inactive", F19&gt;80), "HR Action")," - ")</f>
        <v>HR Action</v>
      </c>
      <c r="AJ19" s="11" t="str" cm="1">
        <f t="array" ref="AJ19">IFERROR(_xlfn.IFS(D19&gt;=12000,"High",D19&gt;=9000,"Medium"),"Low " )</f>
        <v xml:space="preserve">Low </v>
      </c>
      <c r="AK19" t="str" cm="1">
        <f t="array" ref="AK19">IFERROR(_xlfn.IFS(F19&gt;=95,"Excellent",F19&gt;=90,"Good"),"Poor" )</f>
        <v>Poor</v>
      </c>
      <c r="AL19" s="12" t="str" cm="1">
        <f t="array" ref="AL19">IFERROR(_xlfn.IFS(AND(C19="IT", H19=5,F19&gt;=90), "IT Star"), "- ")</f>
        <v xml:space="preserve">- </v>
      </c>
      <c r="AM19" s="11" t="str" cm="1">
        <f t="array" ref="AM19">IFERROR(_xlfn.IFS(OR(C19="Finance",C19="HR"),"Administration")," - ")</f>
        <v xml:space="preserve"> - </v>
      </c>
      <c r="AN19" s="11" t="str" cm="1">
        <f t="array" ref="AN19">IFERROR(_xlfn.IFS(AND(E19&gt;100000,I19="Yes", H19&gt;=4), " Employee of Month"),"- ")</f>
        <v xml:space="preserve">- </v>
      </c>
    </row>
    <row r="20" spans="1:40" ht="15.6" x14ac:dyDescent="0.3">
      <c r="A20" t="s">
        <v>18</v>
      </c>
      <c r="B20" t="s">
        <v>19</v>
      </c>
      <c r="C20" t="s">
        <v>20</v>
      </c>
      <c r="D20">
        <v>6724</v>
      </c>
      <c r="E20">
        <v>68000</v>
      </c>
      <c r="F20">
        <v>82</v>
      </c>
      <c r="G20">
        <v>9</v>
      </c>
      <c r="H20">
        <v>5</v>
      </c>
      <c r="I20" t="s">
        <v>12</v>
      </c>
      <c r="J20" t="s">
        <v>13</v>
      </c>
      <c r="K20" t="str">
        <f t="shared" si="3"/>
        <v>Low</v>
      </c>
      <c r="L20" t="str">
        <f t="shared" si="0"/>
        <v>Needs Improvement</v>
      </c>
      <c r="M20" t="str">
        <f t="shared" si="1"/>
        <v>Working</v>
      </c>
      <c r="N20" t="str">
        <f t="shared" si="2"/>
        <v>No Bonus</v>
      </c>
      <c r="O20" t="str">
        <f t="shared" si="4"/>
        <v>Senior</v>
      </c>
      <c r="P20" t="str">
        <f t="shared" si="5"/>
        <v>Outstanding</v>
      </c>
      <c r="Q20" t="str">
        <f t="shared" si="6"/>
        <v>Achieved</v>
      </c>
      <c r="R20" t="str">
        <f t="shared" si="7"/>
        <v>Other Team</v>
      </c>
      <c r="S20" t="str">
        <f t="shared" si="8"/>
        <v>Increase Needed</v>
      </c>
      <c r="T20" t="str">
        <f>IF(Employee_Data!F20&lt;85,"Warning","Good")</f>
        <v>Warning</v>
      </c>
      <c r="U20" t="str">
        <f t="shared" si="9"/>
        <v>Average</v>
      </c>
      <c r="V20" t="str">
        <f t="shared" si="10"/>
        <v>Poor</v>
      </c>
      <c r="W20" t="str">
        <f t="shared" si="11"/>
        <v>Outstanding</v>
      </c>
      <c r="X20" t="str">
        <f t="shared" si="12"/>
        <v>Experienced</v>
      </c>
      <c r="Y20" t="str">
        <f t="shared" si="13"/>
        <v>Silver</v>
      </c>
      <c r="Z20" t="str">
        <f t="shared" si="14"/>
        <v>D</v>
      </c>
      <c r="AA20" t="str">
        <f t="shared" si="15"/>
        <v>Fair</v>
      </c>
      <c r="AB20" t="str">
        <f t="shared" si="16"/>
        <v>Expert</v>
      </c>
      <c r="AC20" t="str">
        <f t="shared" si="17"/>
        <v>Excellent</v>
      </c>
      <c r="AD20" t="str">
        <f t="shared" si="18"/>
        <v>Low</v>
      </c>
      <c r="AE20" t="str" cm="1">
        <f t="array" ref="AE20">_xlfn.IFS(AND(D20&gt;9000, F20&gt;95), "Eligible Bonus", TRUE, "Not Eligible")</f>
        <v>Not Eligible</v>
      </c>
      <c r="AF20" s="11" t="str" cm="1">
        <f t="array" ref="AF20">IFERROR(_xlfn.IFS(AND(C20="Sales", E20&gt;120000), "Top Sales"),"- ")</f>
        <v xml:space="preserve">- </v>
      </c>
      <c r="AG20" s="11" t="str" cm="1">
        <f t="array" ref="AG20">IFERROR(_xlfn.IFS(AND(G20&gt;5, H20&gt;=4), "Promotion"),"- ")</f>
        <v>Promotion</v>
      </c>
      <c r="AH20" s="11" t="str" cm="1">
        <f t="array" ref="AH20">IFERROR(_xlfn.IFS(OR(D20&gt;7000, F20&gt;85), "Review Required")," - ")</f>
        <v xml:space="preserve"> - </v>
      </c>
      <c r="AI20" s="11" t="str" cm="1">
        <f t="array" ref="AI20">IFERROR(_xlfn.IFS(OR(J20="Inactive", F20&gt;80), "HR Action")," - ")</f>
        <v>HR Action</v>
      </c>
      <c r="AJ20" s="11" t="str" cm="1">
        <f t="array" ref="AJ20">IFERROR(_xlfn.IFS(D20&gt;=12000,"High",D20&gt;=9000,"Medium"),"Low " )</f>
        <v xml:space="preserve">Low </v>
      </c>
      <c r="AK20" t="str" cm="1">
        <f t="array" ref="AK20">IFERROR(_xlfn.IFS(F20&gt;=95,"Excellent",F20&gt;=90,"Good"),"Poor" )</f>
        <v>Poor</v>
      </c>
      <c r="AL20" s="12" t="str" cm="1">
        <f t="array" ref="AL20">IFERROR(_xlfn.IFS(AND(C20="IT", H20=5,F20&gt;=90), "IT Star"), "- ")</f>
        <v xml:space="preserve">- </v>
      </c>
      <c r="AM20" s="11" t="str" cm="1">
        <f t="array" ref="AM20">IFERROR(_xlfn.IFS(OR(C20="Finance",C20="HR"),"Administration")," - ")</f>
        <v xml:space="preserve"> - </v>
      </c>
      <c r="AN20" s="11" t="str" cm="1">
        <f t="array" ref="AN20">IFERROR(_xlfn.IFS(AND(E20&gt;100000,I20="Yes", H20&gt;=4), " Employee of Month"),"- ")</f>
        <v xml:space="preserve">- </v>
      </c>
    </row>
    <row r="21" spans="1:40" ht="15.6" x14ac:dyDescent="0.3">
      <c r="A21" t="s">
        <v>56</v>
      </c>
      <c r="B21" t="s">
        <v>35</v>
      </c>
      <c r="C21" t="s">
        <v>23</v>
      </c>
      <c r="D21">
        <v>6775</v>
      </c>
      <c r="E21">
        <v>205000</v>
      </c>
      <c r="F21">
        <v>83</v>
      </c>
      <c r="G21">
        <v>3</v>
      </c>
      <c r="H21">
        <v>1</v>
      </c>
      <c r="I21" t="s">
        <v>17</v>
      </c>
      <c r="J21" t="s">
        <v>13</v>
      </c>
      <c r="K21" t="str">
        <f t="shared" si="3"/>
        <v>Low</v>
      </c>
      <c r="L21" t="str">
        <f t="shared" si="0"/>
        <v>Needs Improvement</v>
      </c>
      <c r="M21" t="str">
        <f t="shared" si="1"/>
        <v>Working</v>
      </c>
      <c r="N21" t="str">
        <f t="shared" si="2"/>
        <v>Bonus</v>
      </c>
      <c r="O21" t="str">
        <f t="shared" si="4"/>
        <v>Junior</v>
      </c>
      <c r="P21" t="str">
        <f t="shared" si="5"/>
        <v>Normal</v>
      </c>
      <c r="Q21" t="str">
        <f t="shared" si="6"/>
        <v>Not Achieved</v>
      </c>
      <c r="R21" t="str">
        <f t="shared" si="7"/>
        <v>Other Team</v>
      </c>
      <c r="S21" t="str">
        <f t="shared" si="8"/>
        <v>Increase Needed</v>
      </c>
      <c r="T21" t="str">
        <f>IF(Employee_Data!F21&lt;85,"Warning","Good")</f>
        <v>Warning</v>
      </c>
      <c r="U21" t="str">
        <f t="shared" si="9"/>
        <v>Average</v>
      </c>
      <c r="V21" t="str">
        <f t="shared" si="10"/>
        <v>Poor</v>
      </c>
      <c r="W21" t="str">
        <f t="shared" si="11"/>
        <v>Needs Improvement</v>
      </c>
      <c r="X21" t="str">
        <f t="shared" si="12"/>
        <v>Beginner</v>
      </c>
      <c r="Y21" t="str">
        <f t="shared" si="13"/>
        <v>Platinum</v>
      </c>
      <c r="Z21" t="str">
        <f t="shared" si="14"/>
        <v>D</v>
      </c>
      <c r="AA21" t="str">
        <f t="shared" si="15"/>
        <v>Fair</v>
      </c>
      <c r="AB21" t="str">
        <f t="shared" si="16"/>
        <v>Mid</v>
      </c>
      <c r="AC21" t="str">
        <f t="shared" si="17"/>
        <v>Poor</v>
      </c>
      <c r="AD21" t="str">
        <f t="shared" si="18"/>
        <v>Top</v>
      </c>
      <c r="AE21" t="str" cm="1">
        <f t="array" ref="AE21">_xlfn.IFS(AND(D21&gt;9000, F21&gt;95), "Eligible Bonus", TRUE, "Not Eligible")</f>
        <v>Not Eligible</v>
      </c>
      <c r="AF21" s="11" t="str" cm="1">
        <f t="array" ref="AF21">IFERROR(_xlfn.IFS(AND(C21="Sales", E21&gt;120000), "Top Sales"),"- ")</f>
        <v xml:space="preserve">- </v>
      </c>
      <c r="AG21" s="11" t="str" cm="1">
        <f t="array" ref="AG21">IFERROR(_xlfn.IFS(AND(G21&gt;5, H21&gt;=4), "Promotion"),"- ")</f>
        <v xml:space="preserve">- </v>
      </c>
      <c r="AH21" s="11" t="str" cm="1">
        <f t="array" ref="AH21">IFERROR(_xlfn.IFS(OR(D21&gt;7000, F21&gt;85), "Review Required")," - ")</f>
        <v xml:space="preserve"> - </v>
      </c>
      <c r="AI21" s="11" t="str" cm="1">
        <f t="array" ref="AI21">IFERROR(_xlfn.IFS(OR(J21="Inactive", F21&gt;80), "HR Action")," - ")</f>
        <v>HR Action</v>
      </c>
      <c r="AJ21" s="11" t="str" cm="1">
        <f t="array" ref="AJ21">IFERROR(_xlfn.IFS(D21&gt;=12000,"High",D21&gt;=9000,"Medium"),"Low " )</f>
        <v xml:space="preserve">Low </v>
      </c>
      <c r="AK21" t="str" cm="1">
        <f t="array" ref="AK21">IFERROR(_xlfn.IFS(F21&gt;=95,"Excellent",F21&gt;=90,"Good"),"Poor" )</f>
        <v>Poor</v>
      </c>
      <c r="AL21" s="12" t="str" cm="1">
        <f t="array" ref="AL21">IFERROR(_xlfn.IFS(AND(C21="IT", H21=5,F21&gt;=90), "IT Star"), "- ")</f>
        <v xml:space="preserve">- </v>
      </c>
      <c r="AM21" s="11" t="str" cm="1">
        <f t="array" ref="AM21">IFERROR(_xlfn.IFS(OR(C21="Finance",C21="HR"),"Administration")," - ")</f>
        <v>Administration</v>
      </c>
      <c r="AN21" s="11" t="str" cm="1">
        <f t="array" ref="AN21">IFERROR(_xlfn.IFS(AND(E21&gt;100000,I21="Yes", H21&gt;=4), " Employee of Month"),"- ")</f>
        <v xml:space="preserve">- </v>
      </c>
    </row>
    <row r="22" spans="1:40" ht="15.6" x14ac:dyDescent="0.3">
      <c r="A22" t="s">
        <v>77</v>
      </c>
      <c r="B22" t="s">
        <v>47</v>
      </c>
      <c r="C22" t="s">
        <v>26</v>
      </c>
      <c r="D22">
        <v>6826</v>
      </c>
      <c r="E22">
        <v>122000</v>
      </c>
      <c r="F22">
        <v>84</v>
      </c>
      <c r="G22">
        <v>9</v>
      </c>
      <c r="H22">
        <v>2</v>
      </c>
      <c r="I22" t="s">
        <v>12</v>
      </c>
      <c r="J22" t="s">
        <v>13</v>
      </c>
      <c r="K22" t="str">
        <f t="shared" si="3"/>
        <v>Low</v>
      </c>
      <c r="L22" t="str">
        <f t="shared" si="0"/>
        <v>Needs Improvement</v>
      </c>
      <c r="M22" t="str">
        <f t="shared" si="1"/>
        <v>Working</v>
      </c>
      <c r="N22" t="str">
        <f t="shared" si="2"/>
        <v>Bonus</v>
      </c>
      <c r="O22" t="str">
        <f t="shared" si="4"/>
        <v>Senior</v>
      </c>
      <c r="P22" t="str">
        <f t="shared" si="5"/>
        <v>Normal</v>
      </c>
      <c r="Q22" t="str">
        <f t="shared" si="6"/>
        <v>Achieved</v>
      </c>
      <c r="R22" t="str">
        <f t="shared" si="7"/>
        <v>Other Team</v>
      </c>
      <c r="S22" t="str">
        <f t="shared" si="8"/>
        <v>Increase Needed</v>
      </c>
      <c r="T22" t="str">
        <f>IF(Employee_Data!F22&lt;85,"Warning","Good")</f>
        <v>Warning</v>
      </c>
      <c r="U22" t="str">
        <f t="shared" si="9"/>
        <v>Average</v>
      </c>
      <c r="V22" t="str">
        <f t="shared" si="10"/>
        <v>Poor</v>
      </c>
      <c r="W22" t="str">
        <f t="shared" si="11"/>
        <v>Needs Improvement</v>
      </c>
      <c r="X22" t="str">
        <f t="shared" si="12"/>
        <v>Experienced</v>
      </c>
      <c r="Y22" t="str">
        <f t="shared" si="13"/>
        <v>Gold</v>
      </c>
      <c r="Z22" t="str">
        <f t="shared" si="14"/>
        <v>D</v>
      </c>
      <c r="AA22" t="str">
        <f t="shared" si="15"/>
        <v>Fair</v>
      </c>
      <c r="AB22" t="str">
        <f t="shared" si="16"/>
        <v>Expert</v>
      </c>
      <c r="AC22" t="str">
        <f t="shared" si="17"/>
        <v>Average</v>
      </c>
      <c r="AD22" t="str">
        <f t="shared" si="18"/>
        <v>Best</v>
      </c>
      <c r="AE22" t="str" cm="1">
        <f t="array" ref="AE22">_xlfn.IFS(AND(D22&gt;9000, F22&gt;95), "Eligible Bonus", TRUE, "Not Eligible")</f>
        <v>Not Eligible</v>
      </c>
      <c r="AF22" s="11" t="str" cm="1">
        <f t="array" ref="AF22">IFERROR(_xlfn.IFS(AND(C22="Sales", E22&gt;120000), "Top Sales"),"- ")</f>
        <v xml:space="preserve">- </v>
      </c>
      <c r="AG22" s="11" t="str" cm="1">
        <f t="array" ref="AG22">IFERROR(_xlfn.IFS(AND(G22&gt;5, H22&gt;=4), "Promotion"),"- ")</f>
        <v xml:space="preserve">- </v>
      </c>
      <c r="AH22" s="11" t="str" cm="1">
        <f t="array" ref="AH22">IFERROR(_xlfn.IFS(OR(D22&gt;7000, F22&gt;85), "Review Required")," - ")</f>
        <v xml:space="preserve"> - </v>
      </c>
      <c r="AI22" s="11" t="str" cm="1">
        <f t="array" ref="AI22">IFERROR(_xlfn.IFS(OR(J22="Inactive", F22&gt;80), "HR Action")," - ")</f>
        <v>HR Action</v>
      </c>
      <c r="AJ22" s="11" t="str" cm="1">
        <f t="array" ref="AJ22">IFERROR(_xlfn.IFS(D22&gt;=12000,"High",D22&gt;=9000,"Medium"),"Low " )</f>
        <v xml:space="preserve">Low </v>
      </c>
      <c r="AK22" t="str" cm="1">
        <f t="array" ref="AK22">IFERROR(_xlfn.IFS(F22&gt;=95,"Excellent",F22&gt;=90,"Good"),"Poor" )</f>
        <v>Poor</v>
      </c>
      <c r="AL22" s="12" t="str" cm="1">
        <f t="array" ref="AL22">IFERROR(_xlfn.IFS(AND(C22="IT", H22=5,F22&gt;=90), "IT Star"), "- ")</f>
        <v xml:space="preserve">- </v>
      </c>
      <c r="AM22" s="11" t="str" cm="1">
        <f t="array" ref="AM22">IFERROR(_xlfn.IFS(OR(C22="Finance",C22="HR"),"Administration")," - ")</f>
        <v xml:space="preserve"> - </v>
      </c>
      <c r="AN22" s="11" t="str" cm="1">
        <f t="array" ref="AN22">IFERROR(_xlfn.IFS(AND(E22&gt;100000,I22="Yes", H22&gt;=4), " Employee of Month"),"- ")</f>
        <v xml:space="preserve">- </v>
      </c>
    </row>
    <row r="23" spans="1:40" ht="15.6" x14ac:dyDescent="0.3">
      <c r="A23" t="s">
        <v>98</v>
      </c>
      <c r="B23" t="s">
        <v>28</v>
      </c>
      <c r="C23" t="s">
        <v>4</v>
      </c>
      <c r="D23">
        <v>6877</v>
      </c>
      <c r="E23">
        <v>39000</v>
      </c>
      <c r="F23">
        <v>85</v>
      </c>
      <c r="G23">
        <v>3</v>
      </c>
      <c r="H23">
        <v>3</v>
      </c>
      <c r="I23" t="s">
        <v>17</v>
      </c>
      <c r="J23" t="s">
        <v>13</v>
      </c>
      <c r="K23" t="str">
        <f t="shared" si="3"/>
        <v>Low</v>
      </c>
      <c r="L23" t="str">
        <f t="shared" si="0"/>
        <v>Needs Improvement</v>
      </c>
      <c r="M23" t="str">
        <f t="shared" si="1"/>
        <v>Working</v>
      </c>
      <c r="N23" t="str">
        <f t="shared" si="2"/>
        <v>No Bonus</v>
      </c>
      <c r="O23" t="str">
        <f t="shared" si="4"/>
        <v>Junior</v>
      </c>
      <c r="P23" t="str">
        <f t="shared" si="5"/>
        <v>Normal</v>
      </c>
      <c r="Q23" t="str">
        <f t="shared" si="6"/>
        <v>Not Achieved</v>
      </c>
      <c r="R23" t="str">
        <f t="shared" si="7"/>
        <v>Sales Team</v>
      </c>
      <c r="S23" t="str">
        <f t="shared" si="8"/>
        <v>Increase Needed</v>
      </c>
      <c r="T23" t="str">
        <f>IF(Employee_Data!F23&lt;85,"Warning","Good")</f>
        <v>Good</v>
      </c>
      <c r="U23" t="str">
        <f t="shared" si="9"/>
        <v>Average</v>
      </c>
      <c r="V23" t="str">
        <f t="shared" si="10"/>
        <v>Poor</v>
      </c>
      <c r="W23" t="str">
        <f t="shared" si="11"/>
        <v>Good</v>
      </c>
      <c r="X23" t="str">
        <f t="shared" si="12"/>
        <v>Beginner</v>
      </c>
      <c r="Y23" t="str">
        <f t="shared" si="13"/>
        <v>Silver</v>
      </c>
      <c r="Z23" t="str">
        <f t="shared" si="14"/>
        <v>D</v>
      </c>
      <c r="AA23" t="str">
        <f t="shared" si="15"/>
        <v>Fair</v>
      </c>
      <c r="AB23" t="str">
        <f t="shared" si="16"/>
        <v>Mid</v>
      </c>
      <c r="AC23" t="str">
        <f t="shared" si="17"/>
        <v>Average</v>
      </c>
      <c r="AD23" t="str">
        <f t="shared" si="18"/>
        <v>Low</v>
      </c>
      <c r="AE23" t="str" cm="1">
        <f t="array" ref="AE23">_xlfn.IFS(AND(D23&gt;9000, F23&gt;95), "Eligible Bonus", TRUE, "Not Eligible")</f>
        <v>Not Eligible</v>
      </c>
      <c r="AF23" s="11" t="str" cm="1">
        <f t="array" ref="AF23">IFERROR(_xlfn.IFS(AND(C23="Sales", E23&gt;120000), "Top Sales"),"- ")</f>
        <v xml:space="preserve">- </v>
      </c>
      <c r="AG23" s="11" t="str" cm="1">
        <f t="array" ref="AG23">IFERROR(_xlfn.IFS(AND(G23&gt;5, H23&gt;=4), "Promotion"),"- ")</f>
        <v xml:space="preserve">- </v>
      </c>
      <c r="AH23" s="11" t="str" cm="1">
        <f t="array" ref="AH23">IFERROR(_xlfn.IFS(OR(D23&gt;7000, F23&gt;85), "Review Required")," - ")</f>
        <v xml:space="preserve"> - </v>
      </c>
      <c r="AI23" s="11" t="str" cm="1">
        <f t="array" ref="AI23">IFERROR(_xlfn.IFS(OR(J23="Inactive", F23&gt;80), "HR Action")," - ")</f>
        <v>HR Action</v>
      </c>
      <c r="AJ23" s="11" t="str" cm="1">
        <f t="array" ref="AJ23">IFERROR(_xlfn.IFS(D23&gt;=12000,"High",D23&gt;=9000,"Medium"),"Low " )</f>
        <v xml:space="preserve">Low </v>
      </c>
      <c r="AK23" t="str" cm="1">
        <f t="array" ref="AK23">IFERROR(_xlfn.IFS(F23&gt;=95,"Excellent",F23&gt;=90,"Good"),"Poor" )</f>
        <v>Poor</v>
      </c>
      <c r="AL23" s="12" t="str" cm="1">
        <f t="array" ref="AL23">IFERROR(_xlfn.IFS(AND(C23="IT", H23=5,F23&gt;=90), "IT Star"), "- ")</f>
        <v xml:space="preserve">- </v>
      </c>
      <c r="AM23" s="11" t="str" cm="1">
        <f t="array" ref="AM23">IFERROR(_xlfn.IFS(OR(C23="Finance",C23="HR"),"Administration")," - ")</f>
        <v xml:space="preserve"> - </v>
      </c>
      <c r="AN23" s="11" t="str" cm="1">
        <f t="array" ref="AN23">IFERROR(_xlfn.IFS(AND(E23&gt;100000,I23="Yes", H23&gt;=4), " Employee of Month"),"- ")</f>
        <v xml:space="preserve">- </v>
      </c>
    </row>
    <row r="24" spans="1:40" ht="15.6" x14ac:dyDescent="0.3">
      <c r="A24" t="s">
        <v>119</v>
      </c>
      <c r="B24" t="s">
        <v>41</v>
      </c>
      <c r="C24" t="s">
        <v>16</v>
      </c>
      <c r="D24">
        <v>6928</v>
      </c>
      <c r="E24">
        <v>176000</v>
      </c>
      <c r="F24">
        <v>86</v>
      </c>
      <c r="G24">
        <v>9</v>
      </c>
      <c r="H24">
        <v>4</v>
      </c>
      <c r="I24" t="s">
        <v>12</v>
      </c>
      <c r="J24" t="s">
        <v>13</v>
      </c>
      <c r="K24" t="str">
        <f t="shared" si="3"/>
        <v>Low</v>
      </c>
      <c r="L24" t="str">
        <f t="shared" si="0"/>
        <v>Needs Improvement</v>
      </c>
      <c r="M24" t="str">
        <f t="shared" si="1"/>
        <v>Working</v>
      </c>
      <c r="N24" t="str">
        <f t="shared" si="2"/>
        <v>Bonus</v>
      </c>
      <c r="O24" t="str">
        <f t="shared" si="4"/>
        <v>Senior</v>
      </c>
      <c r="P24" t="str">
        <f t="shared" si="5"/>
        <v>Normal</v>
      </c>
      <c r="Q24" t="str">
        <f t="shared" si="6"/>
        <v>Achieved</v>
      </c>
      <c r="R24" t="str">
        <f t="shared" si="7"/>
        <v>Other Team</v>
      </c>
      <c r="S24" t="str">
        <f t="shared" si="8"/>
        <v>Increase Needed</v>
      </c>
      <c r="T24" t="str">
        <f>IF(Employee_Data!F24&lt;85,"Warning","Good")</f>
        <v>Good</v>
      </c>
      <c r="U24" t="str">
        <f t="shared" si="9"/>
        <v>Average</v>
      </c>
      <c r="V24" t="str">
        <f t="shared" si="10"/>
        <v>Poor</v>
      </c>
      <c r="W24" t="str">
        <f t="shared" si="11"/>
        <v>Very Good</v>
      </c>
      <c r="X24" t="str">
        <f t="shared" si="12"/>
        <v>Experienced</v>
      </c>
      <c r="Y24" t="str">
        <f t="shared" si="13"/>
        <v>Platinum</v>
      </c>
      <c r="Z24" t="str">
        <f t="shared" si="14"/>
        <v>D</v>
      </c>
      <c r="AA24" t="str">
        <f t="shared" si="15"/>
        <v>Fair</v>
      </c>
      <c r="AB24" t="str">
        <f t="shared" si="16"/>
        <v>Expert</v>
      </c>
      <c r="AC24" t="str">
        <f t="shared" si="17"/>
        <v>Good</v>
      </c>
      <c r="AD24" t="str">
        <f t="shared" si="18"/>
        <v>Best</v>
      </c>
      <c r="AE24" t="str" cm="1">
        <f t="array" ref="AE24">_xlfn.IFS(AND(D24&gt;9000, F24&gt;95), "Eligible Bonus", TRUE, "Not Eligible")</f>
        <v>Not Eligible</v>
      </c>
      <c r="AF24" s="11" t="str" cm="1">
        <f t="array" ref="AF24">IFERROR(_xlfn.IFS(AND(C24="Sales", E24&gt;120000), "Top Sales"),"- ")</f>
        <v xml:space="preserve">- </v>
      </c>
      <c r="AG24" s="11" t="str" cm="1">
        <f t="array" ref="AG24">IFERROR(_xlfn.IFS(AND(G24&gt;5, H24&gt;=4), "Promotion"),"- ")</f>
        <v>Promotion</v>
      </c>
      <c r="AH24" s="11" t="str" cm="1">
        <f t="array" ref="AH24">IFERROR(_xlfn.IFS(OR(D24&gt;7000, F24&gt;85), "Review Required")," - ")</f>
        <v>Review Required</v>
      </c>
      <c r="AI24" s="11" t="str" cm="1">
        <f t="array" ref="AI24">IFERROR(_xlfn.IFS(OR(J24="Inactive", F24&gt;80), "HR Action")," - ")</f>
        <v>HR Action</v>
      </c>
      <c r="AJ24" s="11" t="str" cm="1">
        <f t="array" ref="AJ24">IFERROR(_xlfn.IFS(D24&gt;=12000,"High",D24&gt;=9000,"Medium"),"Low " )</f>
        <v xml:space="preserve">Low </v>
      </c>
      <c r="AK24" t="str" cm="1">
        <f t="array" ref="AK24">IFERROR(_xlfn.IFS(F24&gt;=95,"Excellent",F24&gt;=90,"Good"),"Poor" )</f>
        <v>Poor</v>
      </c>
      <c r="AL24" s="12" t="str" cm="1">
        <f t="array" ref="AL24">IFERROR(_xlfn.IFS(AND(C24="IT", H24=5,F24&gt;=90), "IT Star"), "- ")</f>
        <v xml:space="preserve">- </v>
      </c>
      <c r="AM24" s="11" t="str" cm="1">
        <f t="array" ref="AM24">IFERROR(_xlfn.IFS(OR(C24="Finance",C24="HR"),"Administration")," - ")</f>
        <v>Administration</v>
      </c>
      <c r="AN24" s="11" t="str" cm="1">
        <f t="array" ref="AN24">IFERROR(_xlfn.IFS(AND(E24&gt;100000,I24="Yes", H24&gt;=4), " Employee of Month"),"- ")</f>
        <v xml:space="preserve"> Employee of Month</v>
      </c>
    </row>
    <row r="25" spans="1:40" ht="15.6" x14ac:dyDescent="0.3">
      <c r="A25" t="s">
        <v>21</v>
      </c>
      <c r="B25" t="s">
        <v>22</v>
      </c>
      <c r="C25" t="s">
        <v>23</v>
      </c>
      <c r="D25">
        <v>7155</v>
      </c>
      <c r="E25">
        <v>85000</v>
      </c>
      <c r="F25">
        <v>85</v>
      </c>
      <c r="G25">
        <v>11</v>
      </c>
      <c r="H25">
        <v>1</v>
      </c>
      <c r="I25" t="s">
        <v>17</v>
      </c>
      <c r="J25" t="s">
        <v>13</v>
      </c>
      <c r="K25" t="str">
        <f t="shared" si="3"/>
        <v>Low</v>
      </c>
      <c r="L25" t="str">
        <f t="shared" si="0"/>
        <v>Needs Improvement</v>
      </c>
      <c r="M25" t="str">
        <f t="shared" si="1"/>
        <v>Working</v>
      </c>
      <c r="N25" t="str">
        <f t="shared" si="2"/>
        <v>No Bonus</v>
      </c>
      <c r="O25" t="str">
        <f t="shared" si="4"/>
        <v>Senior</v>
      </c>
      <c r="P25" t="str">
        <f t="shared" si="5"/>
        <v>Normal</v>
      </c>
      <c r="Q25" t="str">
        <f t="shared" si="6"/>
        <v>Not Achieved</v>
      </c>
      <c r="R25" t="str">
        <f t="shared" si="7"/>
        <v>Other Team</v>
      </c>
      <c r="S25" t="str">
        <f t="shared" si="8"/>
        <v>OK</v>
      </c>
      <c r="T25" t="str">
        <f>IF(Employee_Data!F25&lt;85,"Warning","Good")</f>
        <v>Good</v>
      </c>
      <c r="U25" t="str">
        <f t="shared" si="9"/>
        <v>Average</v>
      </c>
      <c r="V25" t="str">
        <f t="shared" si="10"/>
        <v>Poor</v>
      </c>
      <c r="W25" t="str">
        <f t="shared" si="11"/>
        <v>Needs Improvement</v>
      </c>
      <c r="X25" t="str">
        <f t="shared" si="12"/>
        <v>Exper</v>
      </c>
      <c r="Y25" t="str">
        <f t="shared" si="13"/>
        <v>Silver</v>
      </c>
      <c r="Z25" t="str">
        <f t="shared" si="14"/>
        <v>C</v>
      </c>
      <c r="AA25" t="str">
        <f t="shared" si="15"/>
        <v>Fair</v>
      </c>
      <c r="AB25" t="str">
        <f t="shared" si="16"/>
        <v>Expert</v>
      </c>
      <c r="AC25" t="str">
        <f t="shared" si="17"/>
        <v>Poor</v>
      </c>
      <c r="AD25" t="str">
        <f t="shared" si="18"/>
        <v>Good</v>
      </c>
      <c r="AE25" t="str" cm="1">
        <f t="array" ref="AE25">_xlfn.IFS(AND(D25&gt;9000, F25&gt;95), "Eligible Bonus", TRUE, "Not Eligible")</f>
        <v>Not Eligible</v>
      </c>
      <c r="AF25" s="11" t="str" cm="1">
        <f t="array" ref="AF25">IFERROR(_xlfn.IFS(AND(C25="Sales", E25&gt;120000), "Top Sales"),"- ")</f>
        <v xml:space="preserve">- </v>
      </c>
      <c r="AG25" s="11" t="str" cm="1">
        <f t="array" ref="AG25">IFERROR(_xlfn.IFS(AND(G25&gt;5, H25&gt;=4), "Promotion"),"- ")</f>
        <v xml:space="preserve">- </v>
      </c>
      <c r="AH25" s="11" t="str" cm="1">
        <f t="array" ref="AH25">IFERROR(_xlfn.IFS(OR(D25&gt;7000, F25&gt;85), "Review Required")," - ")</f>
        <v>Review Required</v>
      </c>
      <c r="AI25" s="11" t="str" cm="1">
        <f t="array" ref="AI25">IFERROR(_xlfn.IFS(OR(J25="Inactive", F25&gt;80), "HR Action")," - ")</f>
        <v>HR Action</v>
      </c>
      <c r="AJ25" s="11" t="str" cm="1">
        <f t="array" ref="AJ25">IFERROR(_xlfn.IFS(D25&gt;=12000,"High",D25&gt;=9000,"Medium"),"Low " )</f>
        <v xml:space="preserve">Low </v>
      </c>
      <c r="AK25" t="str" cm="1">
        <f t="array" ref="AK25">IFERROR(_xlfn.IFS(F25&gt;=95,"Excellent",F25&gt;=90,"Good"),"Poor" )</f>
        <v>Poor</v>
      </c>
      <c r="AL25" s="12" t="str" cm="1">
        <f t="array" ref="AL25">IFERROR(_xlfn.IFS(AND(C25="IT", H25=5,F25&gt;=90), "IT Star"), "- ")</f>
        <v xml:space="preserve">- </v>
      </c>
      <c r="AM25" s="11" t="str" cm="1">
        <f t="array" ref="AM25">IFERROR(_xlfn.IFS(OR(C25="Finance",C25="HR"),"Administration")," - ")</f>
        <v>Administration</v>
      </c>
      <c r="AN25" s="11" t="str" cm="1">
        <f t="array" ref="AN25">IFERROR(_xlfn.IFS(AND(E25&gt;100000,I25="Yes", H25&gt;=4), " Employee of Month"),"- ")</f>
        <v xml:space="preserve">- </v>
      </c>
    </row>
    <row r="26" spans="1:40" ht="15.6" x14ac:dyDescent="0.3">
      <c r="A26" t="s">
        <v>57</v>
      </c>
      <c r="B26" t="s">
        <v>37</v>
      </c>
      <c r="C26" t="s">
        <v>26</v>
      </c>
      <c r="D26">
        <v>7206</v>
      </c>
      <c r="E26">
        <v>2000</v>
      </c>
      <c r="F26">
        <v>86</v>
      </c>
      <c r="G26">
        <v>5</v>
      </c>
      <c r="H26">
        <v>2</v>
      </c>
      <c r="I26" t="s">
        <v>12</v>
      </c>
      <c r="J26" t="s">
        <v>13</v>
      </c>
      <c r="K26" t="str">
        <f t="shared" si="3"/>
        <v>Low</v>
      </c>
      <c r="L26" t="str">
        <f t="shared" si="0"/>
        <v>Needs Improvement</v>
      </c>
      <c r="M26" t="str">
        <f t="shared" si="1"/>
        <v>Working</v>
      </c>
      <c r="N26" t="str">
        <f t="shared" si="2"/>
        <v>No Bonus</v>
      </c>
      <c r="O26" t="str">
        <f t="shared" si="4"/>
        <v>Senior</v>
      </c>
      <c r="P26" t="str">
        <f t="shared" si="5"/>
        <v>Normal</v>
      </c>
      <c r="Q26" t="str">
        <f t="shared" si="6"/>
        <v>Achieved</v>
      </c>
      <c r="R26" t="str">
        <f t="shared" si="7"/>
        <v>Other Team</v>
      </c>
      <c r="S26" t="str">
        <f t="shared" si="8"/>
        <v>OK</v>
      </c>
      <c r="T26" t="str">
        <f>IF(Employee_Data!F26&lt;85,"Warning","Good")</f>
        <v>Good</v>
      </c>
      <c r="U26" t="str">
        <f t="shared" si="9"/>
        <v>Average</v>
      </c>
      <c r="V26" t="str">
        <f t="shared" si="10"/>
        <v>Poor</v>
      </c>
      <c r="W26" t="str">
        <f t="shared" si="11"/>
        <v>Needs Improvement</v>
      </c>
      <c r="X26" t="str">
        <f t="shared" si="12"/>
        <v>Experienced</v>
      </c>
      <c r="Y26" t="str">
        <f t="shared" si="13"/>
        <v>Silver</v>
      </c>
      <c r="Z26" t="str">
        <f t="shared" si="14"/>
        <v>C</v>
      </c>
      <c r="AA26" t="str">
        <f t="shared" si="15"/>
        <v>Fair</v>
      </c>
      <c r="AB26" t="str">
        <f t="shared" si="16"/>
        <v>Senior</v>
      </c>
      <c r="AC26" t="str">
        <f t="shared" si="17"/>
        <v>Average</v>
      </c>
      <c r="AD26" t="str">
        <f t="shared" si="18"/>
        <v>Low</v>
      </c>
      <c r="AE26" t="str" cm="1">
        <f t="array" ref="AE26">_xlfn.IFS(AND(D26&gt;9000, F26&gt;95), "Eligible Bonus", TRUE, "Not Eligible")</f>
        <v>Not Eligible</v>
      </c>
      <c r="AF26" s="11" t="str" cm="1">
        <f t="array" ref="AF26">IFERROR(_xlfn.IFS(AND(C26="Sales", E26&gt;120000), "Top Sales"),"- ")</f>
        <v xml:space="preserve">- </v>
      </c>
      <c r="AG26" s="11" t="str" cm="1">
        <f t="array" ref="AG26">IFERROR(_xlfn.IFS(AND(G26&gt;5, H26&gt;=4), "Promotion"),"- ")</f>
        <v xml:space="preserve">- </v>
      </c>
      <c r="AH26" s="11" t="str" cm="1">
        <f t="array" ref="AH26">IFERROR(_xlfn.IFS(OR(D26&gt;7000, F26&gt;85), "Review Required")," - ")</f>
        <v>Review Required</v>
      </c>
      <c r="AI26" s="11" t="str" cm="1">
        <f t="array" ref="AI26">IFERROR(_xlfn.IFS(OR(J26="Inactive", F26&gt;80), "HR Action")," - ")</f>
        <v>HR Action</v>
      </c>
      <c r="AJ26" s="11" t="str" cm="1">
        <f t="array" ref="AJ26">IFERROR(_xlfn.IFS(D26&gt;=12000,"High",D26&gt;=9000,"Medium"),"Low " )</f>
        <v xml:space="preserve">Low </v>
      </c>
      <c r="AK26" t="str" cm="1">
        <f t="array" ref="AK26">IFERROR(_xlfn.IFS(F26&gt;=95,"Excellent",F26&gt;=90,"Good"),"Poor" )</f>
        <v>Poor</v>
      </c>
      <c r="AL26" s="12" t="str" cm="1">
        <f t="array" ref="AL26">IFERROR(_xlfn.IFS(AND(C26="IT", H26=5,F26&gt;=90), "IT Star"), "- ")</f>
        <v xml:space="preserve">- </v>
      </c>
      <c r="AM26" s="11" t="str" cm="1">
        <f t="array" ref="AM26">IFERROR(_xlfn.IFS(OR(C26="Finance",C26="HR"),"Administration")," - ")</f>
        <v xml:space="preserve"> - </v>
      </c>
      <c r="AN26" s="11" t="str" cm="1">
        <f t="array" ref="AN26">IFERROR(_xlfn.IFS(AND(E26&gt;100000,I26="Yes", H26&gt;=4), " Employee of Month"),"- ")</f>
        <v xml:space="preserve">- </v>
      </c>
    </row>
    <row r="27" spans="1:40" ht="15.6" x14ac:dyDescent="0.3">
      <c r="A27" t="s">
        <v>78</v>
      </c>
      <c r="B27" t="s">
        <v>11</v>
      </c>
      <c r="C27" t="s">
        <v>4</v>
      </c>
      <c r="D27">
        <v>7257</v>
      </c>
      <c r="E27">
        <v>139000</v>
      </c>
      <c r="F27">
        <v>87</v>
      </c>
      <c r="G27">
        <v>11</v>
      </c>
      <c r="H27">
        <v>3</v>
      </c>
      <c r="I27" t="s">
        <v>17</v>
      </c>
      <c r="J27" t="s">
        <v>13</v>
      </c>
      <c r="K27" t="str">
        <f t="shared" si="3"/>
        <v>Low</v>
      </c>
      <c r="L27" t="str">
        <f t="shared" si="0"/>
        <v>Needs Improvement</v>
      </c>
      <c r="M27" t="str">
        <f t="shared" si="1"/>
        <v>Working</v>
      </c>
      <c r="N27" t="str">
        <f t="shared" si="2"/>
        <v>Bonus</v>
      </c>
      <c r="O27" t="str">
        <f t="shared" si="4"/>
        <v>Senior</v>
      </c>
      <c r="P27" t="str">
        <f t="shared" si="5"/>
        <v>Normal</v>
      </c>
      <c r="Q27" t="str">
        <f t="shared" si="6"/>
        <v>Not Achieved</v>
      </c>
      <c r="R27" t="str">
        <f t="shared" si="7"/>
        <v>Sales Team</v>
      </c>
      <c r="S27" t="str">
        <f t="shared" si="8"/>
        <v>OK</v>
      </c>
      <c r="T27" t="str">
        <f>IF(Employee_Data!F27&lt;85,"Warning","Good")</f>
        <v>Good</v>
      </c>
      <c r="U27" t="str">
        <f t="shared" si="9"/>
        <v>Average</v>
      </c>
      <c r="V27" t="str">
        <f t="shared" si="10"/>
        <v>Poor</v>
      </c>
      <c r="W27" t="str">
        <f t="shared" si="11"/>
        <v>Good</v>
      </c>
      <c r="X27" t="str">
        <f t="shared" si="12"/>
        <v>Exper</v>
      </c>
      <c r="Y27" t="str">
        <f t="shared" si="13"/>
        <v>Gold</v>
      </c>
      <c r="Z27" t="str">
        <f t="shared" si="14"/>
        <v>C</v>
      </c>
      <c r="AA27" t="str">
        <f t="shared" si="15"/>
        <v>Fair</v>
      </c>
      <c r="AB27" t="str">
        <f t="shared" si="16"/>
        <v>Expert</v>
      </c>
      <c r="AC27" t="str">
        <f t="shared" si="17"/>
        <v>Average</v>
      </c>
      <c r="AD27" t="str">
        <f t="shared" si="18"/>
        <v>Best</v>
      </c>
      <c r="AE27" t="str" cm="1">
        <f t="array" ref="AE27">_xlfn.IFS(AND(D27&gt;9000, F27&gt;95), "Eligible Bonus", TRUE, "Not Eligible")</f>
        <v>Not Eligible</v>
      </c>
      <c r="AF27" s="11" t="str" cm="1">
        <f t="array" ref="AF27">IFERROR(_xlfn.IFS(AND(C27="Sales", E27&gt;120000), "Top Sales"),"- ")</f>
        <v>Top Sales</v>
      </c>
      <c r="AG27" s="11" t="str" cm="1">
        <f t="array" ref="AG27">IFERROR(_xlfn.IFS(AND(G27&gt;5, H27&gt;=4), "Promotion"),"- ")</f>
        <v xml:space="preserve">- </v>
      </c>
      <c r="AH27" s="11" t="str" cm="1">
        <f t="array" ref="AH27">IFERROR(_xlfn.IFS(OR(D27&gt;7000, F27&gt;85), "Review Required")," - ")</f>
        <v>Review Required</v>
      </c>
      <c r="AI27" s="11" t="str" cm="1">
        <f t="array" ref="AI27">IFERROR(_xlfn.IFS(OR(J27="Inactive", F27&gt;80), "HR Action")," - ")</f>
        <v>HR Action</v>
      </c>
      <c r="AJ27" s="11" t="str" cm="1">
        <f t="array" ref="AJ27">IFERROR(_xlfn.IFS(D27&gt;=12000,"High",D27&gt;=9000,"Medium"),"Low " )</f>
        <v xml:space="preserve">Low </v>
      </c>
      <c r="AK27" t="str" cm="1">
        <f t="array" ref="AK27">IFERROR(_xlfn.IFS(F27&gt;=95,"Excellent",F27&gt;=90,"Good"),"Poor" )</f>
        <v>Poor</v>
      </c>
      <c r="AL27" s="12" t="str" cm="1">
        <f t="array" ref="AL27">IFERROR(_xlfn.IFS(AND(C27="IT", H27=5,F27&gt;=90), "IT Star"), "- ")</f>
        <v xml:space="preserve">- </v>
      </c>
      <c r="AM27" s="11" t="str" cm="1">
        <f t="array" ref="AM27">IFERROR(_xlfn.IFS(OR(C27="Finance",C27="HR"),"Administration")," - ")</f>
        <v xml:space="preserve"> - </v>
      </c>
      <c r="AN27" s="11" t="str" cm="1">
        <f t="array" ref="AN27">IFERROR(_xlfn.IFS(AND(E27&gt;100000,I27="Yes", H27&gt;=4), " Employee of Month"),"- ")</f>
        <v xml:space="preserve">- </v>
      </c>
    </row>
    <row r="28" spans="1:40" ht="15.6" x14ac:dyDescent="0.3">
      <c r="A28" t="s">
        <v>99</v>
      </c>
      <c r="B28" t="s">
        <v>31</v>
      </c>
      <c r="C28" t="s">
        <v>16</v>
      </c>
      <c r="D28">
        <v>7308</v>
      </c>
      <c r="E28">
        <v>56000</v>
      </c>
      <c r="F28">
        <v>88</v>
      </c>
      <c r="G28">
        <v>5</v>
      </c>
      <c r="H28">
        <v>4</v>
      </c>
      <c r="I28" t="s">
        <v>12</v>
      </c>
      <c r="J28" t="s">
        <v>13</v>
      </c>
      <c r="K28" t="str">
        <f t="shared" si="3"/>
        <v>Low</v>
      </c>
      <c r="L28" t="str">
        <f t="shared" si="0"/>
        <v>Needs Improvement</v>
      </c>
      <c r="M28" t="str">
        <f t="shared" si="1"/>
        <v>Working</v>
      </c>
      <c r="N28" t="str">
        <f t="shared" si="2"/>
        <v>No Bonus</v>
      </c>
      <c r="O28" t="str">
        <f t="shared" si="4"/>
        <v>Senior</v>
      </c>
      <c r="P28" t="str">
        <f t="shared" si="5"/>
        <v>Normal</v>
      </c>
      <c r="Q28" t="str">
        <f t="shared" si="6"/>
        <v>Achieved</v>
      </c>
      <c r="R28" t="str">
        <f t="shared" si="7"/>
        <v>Other Team</v>
      </c>
      <c r="S28" t="str">
        <f t="shared" si="8"/>
        <v>OK</v>
      </c>
      <c r="T28" t="str">
        <f>IF(Employee_Data!F28&lt;85,"Warning","Good")</f>
        <v>Good</v>
      </c>
      <c r="U28" t="str">
        <f t="shared" si="9"/>
        <v>Average</v>
      </c>
      <c r="V28" t="str">
        <f t="shared" si="10"/>
        <v>Poor</v>
      </c>
      <c r="W28" t="str">
        <f t="shared" si="11"/>
        <v>Very Good</v>
      </c>
      <c r="X28" t="str">
        <f t="shared" si="12"/>
        <v>Experienced</v>
      </c>
      <c r="Y28" t="str">
        <f t="shared" si="13"/>
        <v>Silver</v>
      </c>
      <c r="Z28" t="str">
        <f t="shared" si="14"/>
        <v>C</v>
      </c>
      <c r="AA28" t="str">
        <f t="shared" si="15"/>
        <v>Fair</v>
      </c>
      <c r="AB28" t="str">
        <f t="shared" si="16"/>
        <v>Senior</v>
      </c>
      <c r="AC28" t="str">
        <f t="shared" si="17"/>
        <v>Good</v>
      </c>
      <c r="AD28" t="str">
        <f t="shared" si="18"/>
        <v>Low</v>
      </c>
      <c r="AE28" t="str" cm="1">
        <f t="array" ref="AE28">_xlfn.IFS(AND(D28&gt;9000, F28&gt;95), "Eligible Bonus", TRUE, "Not Eligible")</f>
        <v>Not Eligible</v>
      </c>
      <c r="AF28" s="11" t="str" cm="1">
        <f t="array" ref="AF28">IFERROR(_xlfn.IFS(AND(C28="Sales", E28&gt;120000), "Top Sales"),"- ")</f>
        <v xml:space="preserve">- </v>
      </c>
      <c r="AG28" s="11" t="str" cm="1">
        <f t="array" ref="AG28">IFERROR(_xlfn.IFS(AND(G28&gt;5, H28&gt;=4), "Promotion"),"- ")</f>
        <v xml:space="preserve">- </v>
      </c>
      <c r="AH28" s="11" t="str" cm="1">
        <f t="array" ref="AH28">IFERROR(_xlfn.IFS(OR(D28&gt;7000, F28&gt;85), "Review Required")," - ")</f>
        <v>Review Required</v>
      </c>
      <c r="AI28" s="11" t="str" cm="1">
        <f t="array" ref="AI28">IFERROR(_xlfn.IFS(OR(J28="Inactive", F28&gt;80), "HR Action")," - ")</f>
        <v>HR Action</v>
      </c>
      <c r="AJ28" s="11" t="str" cm="1">
        <f t="array" ref="AJ28">IFERROR(_xlfn.IFS(D28&gt;=12000,"High",D28&gt;=9000,"Medium"),"Low " )</f>
        <v xml:space="preserve">Low </v>
      </c>
      <c r="AK28" t="str" cm="1">
        <f t="array" ref="AK28">IFERROR(_xlfn.IFS(F28&gt;=95,"Excellent",F28&gt;=90,"Good"),"Poor" )</f>
        <v>Poor</v>
      </c>
      <c r="AL28" s="12" t="str" cm="1">
        <f t="array" ref="AL28">IFERROR(_xlfn.IFS(AND(C28="IT", H28=5,F28&gt;=90), "IT Star"), "- ")</f>
        <v xml:space="preserve">- </v>
      </c>
      <c r="AM28" s="11" t="str" cm="1">
        <f t="array" ref="AM28">IFERROR(_xlfn.IFS(OR(C28="Finance",C28="HR"),"Administration")," - ")</f>
        <v>Administration</v>
      </c>
      <c r="AN28" s="11" t="str" cm="1">
        <f t="array" ref="AN28">IFERROR(_xlfn.IFS(AND(E28&gt;100000,I28="Yes", H28&gt;=4), " Employee of Month"),"- ")</f>
        <v xml:space="preserve">- </v>
      </c>
    </row>
    <row r="29" spans="1:40" ht="15.6" x14ac:dyDescent="0.3">
      <c r="A29" t="s">
        <v>120</v>
      </c>
      <c r="B29" t="s">
        <v>43</v>
      </c>
      <c r="C29" t="s">
        <v>20</v>
      </c>
      <c r="D29">
        <v>7359</v>
      </c>
      <c r="E29">
        <v>193000</v>
      </c>
      <c r="F29">
        <v>89</v>
      </c>
      <c r="G29">
        <v>11</v>
      </c>
      <c r="H29">
        <v>5</v>
      </c>
      <c r="I29" t="s">
        <v>17</v>
      </c>
      <c r="J29" t="s">
        <v>13</v>
      </c>
      <c r="K29" t="str">
        <f t="shared" si="3"/>
        <v>Low</v>
      </c>
      <c r="L29" t="str">
        <f t="shared" si="0"/>
        <v>Needs Improvement</v>
      </c>
      <c r="M29" t="str">
        <f t="shared" si="1"/>
        <v>Working</v>
      </c>
      <c r="N29" t="str">
        <f t="shared" si="2"/>
        <v>Bonus</v>
      </c>
      <c r="O29" t="str">
        <f t="shared" si="4"/>
        <v>Senior</v>
      </c>
      <c r="P29" t="str">
        <f t="shared" si="5"/>
        <v>Outstanding</v>
      </c>
      <c r="Q29" t="str">
        <f t="shared" si="6"/>
        <v>Not Achieved</v>
      </c>
      <c r="R29" t="str">
        <f t="shared" si="7"/>
        <v>Other Team</v>
      </c>
      <c r="S29" t="str">
        <f t="shared" si="8"/>
        <v>OK</v>
      </c>
      <c r="T29" t="str">
        <f>IF(Employee_Data!F29&lt;85,"Warning","Good")</f>
        <v>Good</v>
      </c>
      <c r="U29" t="str">
        <f t="shared" si="9"/>
        <v>Average</v>
      </c>
      <c r="V29" t="str">
        <f t="shared" si="10"/>
        <v>Poor</v>
      </c>
      <c r="W29" t="str">
        <f t="shared" si="11"/>
        <v>Outstanding</v>
      </c>
      <c r="X29" t="str">
        <f t="shared" si="12"/>
        <v>Exper</v>
      </c>
      <c r="Y29" t="str">
        <f t="shared" si="13"/>
        <v>Platinum</v>
      </c>
      <c r="Z29" t="str">
        <f t="shared" si="14"/>
        <v>C</v>
      </c>
      <c r="AA29" t="str">
        <f t="shared" si="15"/>
        <v>Fair</v>
      </c>
      <c r="AB29" t="str">
        <f t="shared" si="16"/>
        <v>Expert</v>
      </c>
      <c r="AC29" t="str">
        <f t="shared" si="17"/>
        <v>Excellent</v>
      </c>
      <c r="AD29" t="str">
        <f t="shared" si="18"/>
        <v>Top</v>
      </c>
      <c r="AE29" t="str" cm="1">
        <f t="array" ref="AE29">_xlfn.IFS(AND(D29&gt;9000, F29&gt;95), "Eligible Bonus", TRUE, "Not Eligible")</f>
        <v>Not Eligible</v>
      </c>
      <c r="AF29" s="11" t="str" cm="1">
        <f t="array" ref="AF29">IFERROR(_xlfn.IFS(AND(C29="Sales", E29&gt;120000), "Top Sales"),"- ")</f>
        <v xml:space="preserve">- </v>
      </c>
      <c r="AG29" s="11" t="str" cm="1">
        <f t="array" ref="AG29">IFERROR(_xlfn.IFS(AND(G29&gt;5, H29&gt;=4), "Promotion"),"- ")</f>
        <v>Promotion</v>
      </c>
      <c r="AH29" s="11" t="str" cm="1">
        <f t="array" ref="AH29">IFERROR(_xlfn.IFS(OR(D29&gt;7000, F29&gt;85), "Review Required")," - ")</f>
        <v>Review Required</v>
      </c>
      <c r="AI29" s="11" t="str" cm="1">
        <f t="array" ref="AI29">IFERROR(_xlfn.IFS(OR(J29="Inactive", F29&gt;80), "HR Action")," - ")</f>
        <v>HR Action</v>
      </c>
      <c r="AJ29" s="11" t="str" cm="1">
        <f t="array" ref="AJ29">IFERROR(_xlfn.IFS(D29&gt;=12000,"High",D29&gt;=9000,"Medium"),"Low " )</f>
        <v xml:space="preserve">Low </v>
      </c>
      <c r="AK29" t="str" cm="1">
        <f t="array" ref="AK29">IFERROR(_xlfn.IFS(F29&gt;=95,"Excellent",F29&gt;=90,"Good"),"Poor" )</f>
        <v>Poor</v>
      </c>
      <c r="AL29" s="12" t="str" cm="1">
        <f t="array" ref="AL29">IFERROR(_xlfn.IFS(AND(C29="IT", H29=5,F29&gt;=90), "IT Star"), "- ")</f>
        <v xml:space="preserve">- </v>
      </c>
      <c r="AM29" s="11" t="str" cm="1">
        <f t="array" ref="AM29">IFERROR(_xlfn.IFS(OR(C29="Finance",C29="HR"),"Administration")," - ")</f>
        <v xml:space="preserve"> - </v>
      </c>
      <c r="AN29" s="11" t="str" cm="1">
        <f t="array" ref="AN29">IFERROR(_xlfn.IFS(AND(E29&gt;100000,I29="Yes", H29&gt;=4), " Employee of Month"),"- ")</f>
        <v xml:space="preserve">- </v>
      </c>
    </row>
    <row r="30" spans="1:40" ht="15.6" x14ac:dyDescent="0.3">
      <c r="A30" t="s">
        <v>24</v>
      </c>
      <c r="B30" t="s">
        <v>25</v>
      </c>
      <c r="C30" t="s">
        <v>26</v>
      </c>
      <c r="D30">
        <v>7586</v>
      </c>
      <c r="E30">
        <v>102000</v>
      </c>
      <c r="F30">
        <v>88</v>
      </c>
      <c r="G30">
        <v>1</v>
      </c>
      <c r="H30">
        <v>2</v>
      </c>
      <c r="I30" t="s">
        <v>12</v>
      </c>
      <c r="J30" t="s">
        <v>13</v>
      </c>
      <c r="K30" t="str">
        <f t="shared" si="3"/>
        <v>Low</v>
      </c>
      <c r="L30" t="str">
        <f t="shared" si="0"/>
        <v>Needs Improvement</v>
      </c>
      <c r="M30" t="str">
        <f t="shared" si="1"/>
        <v>Working</v>
      </c>
      <c r="N30" t="str">
        <f t="shared" si="2"/>
        <v>Bonus</v>
      </c>
      <c r="O30" t="str">
        <f t="shared" si="4"/>
        <v>Junior</v>
      </c>
      <c r="P30" t="str">
        <f t="shared" si="5"/>
        <v>Normal</v>
      </c>
      <c r="Q30" t="str">
        <f t="shared" si="6"/>
        <v>Achieved</v>
      </c>
      <c r="R30" t="str">
        <f t="shared" si="7"/>
        <v>Other Team</v>
      </c>
      <c r="S30" t="str">
        <f t="shared" si="8"/>
        <v>OK</v>
      </c>
      <c r="T30" t="str">
        <f>IF(Employee_Data!F30&lt;85,"Warning","Good")</f>
        <v>Good</v>
      </c>
      <c r="U30" t="str">
        <f t="shared" si="9"/>
        <v>Average</v>
      </c>
      <c r="V30" t="str">
        <f t="shared" si="10"/>
        <v>Poor</v>
      </c>
      <c r="W30" t="str">
        <f t="shared" si="11"/>
        <v>Needs Improvement</v>
      </c>
      <c r="X30" t="str">
        <f t="shared" si="12"/>
        <v>Beginner</v>
      </c>
      <c r="Y30" t="str">
        <f t="shared" si="13"/>
        <v>Gold</v>
      </c>
      <c r="Z30" t="str">
        <f t="shared" si="14"/>
        <v>C</v>
      </c>
      <c r="AA30" t="str">
        <f t="shared" si="15"/>
        <v>Fair</v>
      </c>
      <c r="AB30" t="str">
        <f t="shared" si="16"/>
        <v>Junior</v>
      </c>
      <c r="AC30" t="str">
        <f t="shared" si="17"/>
        <v>Average</v>
      </c>
      <c r="AD30" t="str">
        <f t="shared" si="18"/>
        <v>Good</v>
      </c>
      <c r="AE30" t="str" cm="1">
        <f t="array" ref="AE30">_xlfn.IFS(AND(D30&gt;9000, F30&gt;95), "Eligible Bonus", TRUE, "Not Eligible")</f>
        <v>Not Eligible</v>
      </c>
      <c r="AF30" s="11" t="str" cm="1">
        <f t="array" ref="AF30">IFERROR(_xlfn.IFS(AND(C30="Sales", E30&gt;120000), "Top Sales"),"- ")</f>
        <v xml:space="preserve">- </v>
      </c>
      <c r="AG30" s="11" t="str" cm="1">
        <f t="array" ref="AG30">IFERROR(_xlfn.IFS(AND(G30&gt;5, H30&gt;=4), "Promotion"),"- ")</f>
        <v xml:space="preserve">- </v>
      </c>
      <c r="AH30" s="11" t="str" cm="1">
        <f t="array" ref="AH30">IFERROR(_xlfn.IFS(OR(D30&gt;7000, F30&gt;85), "Review Required")," - ")</f>
        <v>Review Required</v>
      </c>
      <c r="AI30" s="11" t="str" cm="1">
        <f t="array" ref="AI30">IFERROR(_xlfn.IFS(OR(J30="Inactive", F30&gt;80), "HR Action")," - ")</f>
        <v>HR Action</v>
      </c>
      <c r="AJ30" s="11" t="str" cm="1">
        <f t="array" ref="AJ30">IFERROR(_xlfn.IFS(D30&gt;=12000,"High",D30&gt;=9000,"Medium"),"Low " )</f>
        <v xml:space="preserve">Low </v>
      </c>
      <c r="AK30" t="str" cm="1">
        <f t="array" ref="AK30">IFERROR(_xlfn.IFS(F30&gt;=95,"Excellent",F30&gt;=90,"Good"),"Poor" )</f>
        <v>Poor</v>
      </c>
      <c r="AL30" s="12" t="str" cm="1">
        <f t="array" ref="AL30">IFERROR(_xlfn.IFS(AND(C30="IT", H30=5,F30&gt;=90), "IT Star"), "- ")</f>
        <v xml:space="preserve">- </v>
      </c>
      <c r="AM30" s="11" t="str" cm="1">
        <f t="array" ref="AM30">IFERROR(_xlfn.IFS(OR(C30="Finance",C30="HR"),"Administration")," - ")</f>
        <v xml:space="preserve"> - </v>
      </c>
      <c r="AN30" s="11" t="str" cm="1">
        <f t="array" ref="AN30">IFERROR(_xlfn.IFS(AND(E30&gt;100000,I30="Yes", H30&gt;=4), " Employee of Month"),"- ")</f>
        <v xml:space="preserve">- </v>
      </c>
    </row>
    <row r="31" spans="1:40" ht="15.6" x14ac:dyDescent="0.3">
      <c r="A31" t="s">
        <v>58</v>
      </c>
      <c r="B31" t="s">
        <v>39</v>
      </c>
      <c r="C31" t="s">
        <v>4</v>
      </c>
      <c r="D31">
        <v>7637</v>
      </c>
      <c r="E31">
        <v>19000</v>
      </c>
      <c r="F31">
        <v>89</v>
      </c>
      <c r="G31">
        <v>7</v>
      </c>
      <c r="H31">
        <v>3</v>
      </c>
      <c r="I31" t="s">
        <v>17</v>
      </c>
      <c r="J31" t="s">
        <v>13</v>
      </c>
      <c r="K31" t="str">
        <f t="shared" si="3"/>
        <v>Low</v>
      </c>
      <c r="L31" t="str">
        <f t="shared" si="0"/>
        <v>Needs Improvement</v>
      </c>
      <c r="M31" t="str">
        <f t="shared" si="1"/>
        <v>Working</v>
      </c>
      <c r="N31" t="str">
        <f t="shared" si="2"/>
        <v>No Bonus</v>
      </c>
      <c r="O31" t="str">
        <f t="shared" si="4"/>
        <v>Senior</v>
      </c>
      <c r="P31" t="str">
        <f t="shared" si="5"/>
        <v>Normal</v>
      </c>
      <c r="Q31" t="str">
        <f t="shared" si="6"/>
        <v>Not Achieved</v>
      </c>
      <c r="R31" t="str">
        <f t="shared" si="7"/>
        <v>Sales Team</v>
      </c>
      <c r="S31" t="str">
        <f t="shared" si="8"/>
        <v>OK</v>
      </c>
      <c r="T31" t="str">
        <f>IF(Employee_Data!F31&lt;85,"Warning","Good")</f>
        <v>Good</v>
      </c>
      <c r="U31" t="str">
        <f t="shared" si="9"/>
        <v>Average</v>
      </c>
      <c r="V31" t="str">
        <f t="shared" si="10"/>
        <v>Poor</v>
      </c>
      <c r="W31" t="str">
        <f t="shared" si="11"/>
        <v>Good</v>
      </c>
      <c r="X31" t="str">
        <f t="shared" si="12"/>
        <v>Experienced</v>
      </c>
      <c r="Y31" t="str">
        <f t="shared" si="13"/>
        <v>Silver</v>
      </c>
      <c r="Z31" t="str">
        <f t="shared" si="14"/>
        <v>C</v>
      </c>
      <c r="AA31" t="str">
        <f t="shared" si="15"/>
        <v>Fair</v>
      </c>
      <c r="AB31" t="str">
        <f t="shared" si="16"/>
        <v>Senior</v>
      </c>
      <c r="AC31" t="str">
        <f t="shared" si="17"/>
        <v>Average</v>
      </c>
      <c r="AD31" t="str">
        <f t="shared" si="18"/>
        <v>Low</v>
      </c>
      <c r="AE31" t="str" cm="1">
        <f t="array" ref="AE31">_xlfn.IFS(AND(D31&gt;9000, F31&gt;95), "Eligible Bonus", TRUE, "Not Eligible")</f>
        <v>Not Eligible</v>
      </c>
      <c r="AF31" s="11" t="str" cm="1">
        <f t="array" ref="AF31">IFERROR(_xlfn.IFS(AND(C31="Sales", E31&gt;120000), "Top Sales"),"- ")</f>
        <v xml:space="preserve">- </v>
      </c>
      <c r="AG31" s="11" t="str" cm="1">
        <f t="array" ref="AG31">IFERROR(_xlfn.IFS(AND(G31&gt;5, H31&gt;=4), "Promotion"),"- ")</f>
        <v xml:space="preserve">- </v>
      </c>
      <c r="AH31" s="11" t="str" cm="1">
        <f t="array" ref="AH31">IFERROR(_xlfn.IFS(OR(D31&gt;7000, F31&gt;85), "Review Required")," - ")</f>
        <v>Review Required</v>
      </c>
      <c r="AI31" s="11" t="str" cm="1">
        <f t="array" ref="AI31">IFERROR(_xlfn.IFS(OR(J31="Inactive", F31&gt;80), "HR Action")," - ")</f>
        <v>HR Action</v>
      </c>
      <c r="AJ31" s="11" t="str" cm="1">
        <f t="array" ref="AJ31">IFERROR(_xlfn.IFS(D31&gt;=12000,"High",D31&gt;=9000,"Medium"),"Low " )</f>
        <v xml:space="preserve">Low </v>
      </c>
      <c r="AK31" t="str" cm="1">
        <f t="array" ref="AK31">IFERROR(_xlfn.IFS(F31&gt;=95,"Excellent",F31&gt;=90,"Good"),"Poor" )</f>
        <v>Poor</v>
      </c>
      <c r="AL31" s="12" t="str" cm="1">
        <f t="array" ref="AL31">IFERROR(_xlfn.IFS(AND(C31="IT", H31=5,F31&gt;=90), "IT Star"), "- ")</f>
        <v xml:space="preserve">- </v>
      </c>
      <c r="AM31" s="11" t="str" cm="1">
        <f t="array" ref="AM31">IFERROR(_xlfn.IFS(OR(C31="Finance",C31="HR"),"Administration")," - ")</f>
        <v xml:space="preserve"> - </v>
      </c>
      <c r="AN31" s="11" t="str" cm="1">
        <f t="array" ref="AN31">IFERROR(_xlfn.IFS(AND(E31&gt;100000,I31="Yes", H31&gt;=4), " Employee of Month"),"- ")</f>
        <v xml:space="preserve">- </v>
      </c>
    </row>
    <row r="32" spans="1:40" ht="15.6" x14ac:dyDescent="0.3">
      <c r="A32" t="s">
        <v>79</v>
      </c>
      <c r="B32" t="s">
        <v>15</v>
      </c>
      <c r="C32" t="s">
        <v>16</v>
      </c>
      <c r="D32">
        <v>7688</v>
      </c>
      <c r="E32">
        <v>156000</v>
      </c>
      <c r="F32">
        <v>90</v>
      </c>
      <c r="G32">
        <v>1</v>
      </c>
      <c r="H32">
        <v>4</v>
      </c>
      <c r="I32" t="s">
        <v>12</v>
      </c>
      <c r="J32" t="s">
        <v>13</v>
      </c>
      <c r="K32" t="str">
        <f t="shared" si="3"/>
        <v>Low</v>
      </c>
      <c r="L32" t="str">
        <f t="shared" si="0"/>
        <v>Needs Improvement</v>
      </c>
      <c r="M32" t="str">
        <f t="shared" si="1"/>
        <v>Working</v>
      </c>
      <c r="N32" t="str">
        <f t="shared" si="2"/>
        <v>Bonus</v>
      </c>
      <c r="O32" t="str">
        <f t="shared" si="4"/>
        <v>Junior</v>
      </c>
      <c r="P32" t="str">
        <f t="shared" si="5"/>
        <v>Normal</v>
      </c>
      <c r="Q32" t="str">
        <f t="shared" si="6"/>
        <v>Achieved</v>
      </c>
      <c r="R32" t="str">
        <f t="shared" si="7"/>
        <v>Other Team</v>
      </c>
      <c r="S32" t="str">
        <f t="shared" si="8"/>
        <v>OK</v>
      </c>
      <c r="T32" t="str">
        <f>IF(Employee_Data!F32&lt;85,"Warning","Good")</f>
        <v>Good</v>
      </c>
      <c r="U32" t="str">
        <f t="shared" si="9"/>
        <v>Average</v>
      </c>
      <c r="V32" t="str">
        <f t="shared" si="10"/>
        <v>Good</v>
      </c>
      <c r="W32" t="str">
        <f t="shared" si="11"/>
        <v>Very Good</v>
      </c>
      <c r="X32" t="str">
        <f t="shared" si="12"/>
        <v>Beginner</v>
      </c>
      <c r="Y32" t="str">
        <f t="shared" si="13"/>
        <v>Platinum</v>
      </c>
      <c r="Z32" t="str">
        <f t="shared" si="14"/>
        <v>C</v>
      </c>
      <c r="AA32" t="str">
        <f t="shared" si="15"/>
        <v>Good</v>
      </c>
      <c r="AB32" t="str">
        <f t="shared" si="16"/>
        <v>Junior</v>
      </c>
      <c r="AC32" t="str">
        <f t="shared" si="17"/>
        <v>Good</v>
      </c>
      <c r="AD32" t="str">
        <f t="shared" si="18"/>
        <v>Best</v>
      </c>
      <c r="AE32" t="str" cm="1">
        <f t="array" ref="AE32">_xlfn.IFS(AND(D32&gt;9000, F32&gt;95), "Eligible Bonus", TRUE, "Not Eligible")</f>
        <v>Not Eligible</v>
      </c>
      <c r="AF32" s="11" t="str" cm="1">
        <f t="array" ref="AF32">IFERROR(_xlfn.IFS(AND(C32="Sales", E32&gt;120000), "Top Sales"),"- ")</f>
        <v xml:space="preserve">- </v>
      </c>
      <c r="AG32" s="11" t="str" cm="1">
        <f t="array" ref="AG32">IFERROR(_xlfn.IFS(AND(G32&gt;5, H32&gt;=4), "Promotion"),"- ")</f>
        <v xml:space="preserve">- </v>
      </c>
      <c r="AH32" s="11" t="str" cm="1">
        <f t="array" ref="AH32">IFERROR(_xlfn.IFS(OR(D32&gt;7000, F32&gt;85), "Review Required")," - ")</f>
        <v>Review Required</v>
      </c>
      <c r="AI32" s="11" t="str" cm="1">
        <f t="array" ref="AI32">IFERROR(_xlfn.IFS(OR(J32="Inactive", F32&gt;80), "HR Action")," - ")</f>
        <v>HR Action</v>
      </c>
      <c r="AJ32" s="11" t="str" cm="1">
        <f t="array" ref="AJ32">IFERROR(_xlfn.IFS(D32&gt;=12000,"High",D32&gt;=9000,"Medium"),"Low " )</f>
        <v xml:space="preserve">Low </v>
      </c>
      <c r="AK32" t="str" cm="1">
        <f t="array" ref="AK32">IFERROR(_xlfn.IFS(F32&gt;=95,"Excellent",F32&gt;=90,"Good"),"Poor" )</f>
        <v>Good</v>
      </c>
      <c r="AL32" s="12" t="str" cm="1">
        <f t="array" ref="AL32">IFERROR(_xlfn.IFS(AND(C32="IT", H32=5,F32&gt;=90), "IT Star"), "- ")</f>
        <v xml:space="preserve">- </v>
      </c>
      <c r="AM32" s="11" t="str" cm="1">
        <f t="array" ref="AM32">IFERROR(_xlfn.IFS(OR(C32="Finance",C32="HR"),"Administration")," - ")</f>
        <v>Administration</v>
      </c>
      <c r="AN32" s="11" t="str" cm="1">
        <f t="array" ref="AN32">IFERROR(_xlfn.IFS(AND(E32&gt;100000,I32="Yes", H32&gt;=4), " Employee of Month"),"- ")</f>
        <v xml:space="preserve"> Employee of Month</v>
      </c>
    </row>
    <row r="33" spans="1:40" ht="15.6" x14ac:dyDescent="0.3">
      <c r="A33" t="s">
        <v>100</v>
      </c>
      <c r="B33" t="s">
        <v>33</v>
      </c>
      <c r="C33" t="s">
        <v>20</v>
      </c>
      <c r="D33">
        <v>7739</v>
      </c>
      <c r="E33">
        <v>73000</v>
      </c>
      <c r="F33">
        <v>91</v>
      </c>
      <c r="G33">
        <v>7</v>
      </c>
      <c r="H33">
        <v>5</v>
      </c>
      <c r="I33" t="s">
        <v>17</v>
      </c>
      <c r="J33" t="s">
        <v>13</v>
      </c>
      <c r="K33" t="str">
        <f t="shared" si="3"/>
        <v>Low</v>
      </c>
      <c r="L33" t="str">
        <f t="shared" si="0"/>
        <v>Needs Improvement</v>
      </c>
      <c r="M33" t="str">
        <f t="shared" si="1"/>
        <v>Working</v>
      </c>
      <c r="N33" t="str">
        <f t="shared" si="2"/>
        <v>No Bonus</v>
      </c>
      <c r="O33" t="str">
        <f t="shared" si="4"/>
        <v>Senior</v>
      </c>
      <c r="P33" t="str">
        <f t="shared" si="5"/>
        <v>Outstanding</v>
      </c>
      <c r="Q33" t="str">
        <f t="shared" si="6"/>
        <v>Not Achieved</v>
      </c>
      <c r="R33" t="str">
        <f t="shared" si="7"/>
        <v>Other Team</v>
      </c>
      <c r="S33" t="str">
        <f t="shared" si="8"/>
        <v>OK</v>
      </c>
      <c r="T33" t="str">
        <f>IF(Employee_Data!F33&lt;85,"Warning","Good")</f>
        <v>Good</v>
      </c>
      <c r="U33" t="str">
        <f t="shared" si="9"/>
        <v>Average</v>
      </c>
      <c r="V33" t="str">
        <f t="shared" si="10"/>
        <v>Good</v>
      </c>
      <c r="W33" t="str">
        <f t="shared" si="11"/>
        <v>Outstanding</v>
      </c>
      <c r="X33" t="str">
        <f t="shared" si="12"/>
        <v>Experienced</v>
      </c>
      <c r="Y33" t="str">
        <f t="shared" si="13"/>
        <v>Silver</v>
      </c>
      <c r="Z33" t="str">
        <f t="shared" si="14"/>
        <v>C</v>
      </c>
      <c r="AA33" t="str">
        <f t="shared" si="15"/>
        <v>Good</v>
      </c>
      <c r="AB33" t="str">
        <f t="shared" si="16"/>
        <v>Senior</v>
      </c>
      <c r="AC33" t="str">
        <f t="shared" si="17"/>
        <v>Excellent</v>
      </c>
      <c r="AD33" t="str">
        <f t="shared" si="18"/>
        <v>Low</v>
      </c>
      <c r="AE33" t="str" cm="1">
        <f t="array" ref="AE33">_xlfn.IFS(AND(D33&gt;9000, F33&gt;95), "Eligible Bonus", TRUE, "Not Eligible")</f>
        <v>Not Eligible</v>
      </c>
      <c r="AF33" s="11" t="str" cm="1">
        <f t="array" ref="AF33">IFERROR(_xlfn.IFS(AND(C33="Sales", E33&gt;120000), "Top Sales"),"- ")</f>
        <v xml:space="preserve">- </v>
      </c>
      <c r="AG33" s="11" t="str" cm="1">
        <f t="array" ref="AG33">IFERROR(_xlfn.IFS(AND(G33&gt;5, H33&gt;=4), "Promotion"),"- ")</f>
        <v>Promotion</v>
      </c>
      <c r="AH33" s="11" t="str" cm="1">
        <f t="array" ref="AH33">IFERROR(_xlfn.IFS(OR(D33&gt;7000, F33&gt;85), "Review Required")," - ")</f>
        <v>Review Required</v>
      </c>
      <c r="AI33" s="11" t="str" cm="1">
        <f t="array" ref="AI33">IFERROR(_xlfn.IFS(OR(J33="Inactive", F33&gt;80), "HR Action")," - ")</f>
        <v>HR Action</v>
      </c>
      <c r="AJ33" s="11" t="str" cm="1">
        <f t="array" ref="AJ33">IFERROR(_xlfn.IFS(D33&gt;=12000,"High",D33&gt;=9000,"Medium"),"Low " )</f>
        <v xml:space="preserve">Low </v>
      </c>
      <c r="AK33" t="str" cm="1">
        <f t="array" ref="AK33">IFERROR(_xlfn.IFS(F33&gt;=95,"Excellent",F33&gt;=90,"Good"),"Poor" )</f>
        <v>Good</v>
      </c>
      <c r="AL33" s="12" t="str" cm="1">
        <f t="array" ref="AL33">IFERROR(_xlfn.IFS(AND(C33="IT", H33=5,F33&gt;=90), "IT Star"), "- ")</f>
        <v>IT Star</v>
      </c>
      <c r="AM33" s="11" t="str" cm="1">
        <f t="array" ref="AM33">IFERROR(_xlfn.IFS(OR(C33="Finance",C33="HR"),"Administration")," - ")</f>
        <v xml:space="preserve"> - </v>
      </c>
      <c r="AN33" s="11" t="str" cm="1">
        <f t="array" ref="AN33">IFERROR(_xlfn.IFS(AND(E33&gt;100000,I33="Yes", H33&gt;=4), " Employee of Month"),"- ")</f>
        <v xml:space="preserve">- </v>
      </c>
    </row>
    <row r="34" spans="1:40" ht="15.6" x14ac:dyDescent="0.3">
      <c r="A34" t="s">
        <v>121</v>
      </c>
      <c r="B34" t="s">
        <v>45</v>
      </c>
      <c r="C34" t="s">
        <v>23</v>
      </c>
      <c r="D34">
        <v>7790</v>
      </c>
      <c r="E34">
        <v>210000</v>
      </c>
      <c r="F34">
        <v>92</v>
      </c>
      <c r="G34">
        <v>1</v>
      </c>
      <c r="H34">
        <v>1</v>
      </c>
      <c r="I34" t="s">
        <v>12</v>
      </c>
      <c r="J34" t="s">
        <v>13</v>
      </c>
      <c r="K34" t="str">
        <f t="shared" si="3"/>
        <v>Low</v>
      </c>
      <c r="L34" t="str">
        <f t="shared" ref="L34:L65" si="19">IF(F34&gt;=95,"Excellent","Needs Improvement")</f>
        <v>Needs Improvement</v>
      </c>
      <c r="M34" t="str">
        <f t="shared" ref="M34:M65" si="20">IF(J34="Active","Working","Not Working")</f>
        <v>Working</v>
      </c>
      <c r="N34" t="str">
        <f t="shared" ref="N34:N65" si="21">IF(E34&gt;100000,"Bonus","No Bonus")</f>
        <v>Bonus</v>
      </c>
      <c r="O34" t="str">
        <f t="shared" si="4"/>
        <v>Junior</v>
      </c>
      <c r="P34" t="str">
        <f t="shared" si="5"/>
        <v>Normal</v>
      </c>
      <c r="Q34" t="str">
        <f t="shared" si="6"/>
        <v>Achieved</v>
      </c>
      <c r="R34" t="str">
        <f t="shared" si="7"/>
        <v>Other Team</v>
      </c>
      <c r="S34" t="str">
        <f t="shared" si="8"/>
        <v>OK</v>
      </c>
      <c r="T34" t="str">
        <f>IF(Employee_Data!F34&lt;85,"Warning","Good")</f>
        <v>Good</v>
      </c>
      <c r="U34" t="str">
        <f t="shared" si="9"/>
        <v>Average</v>
      </c>
      <c r="V34" t="str">
        <f t="shared" si="10"/>
        <v>Good</v>
      </c>
      <c r="W34" t="str">
        <f t="shared" si="11"/>
        <v>Needs Improvement</v>
      </c>
      <c r="X34" t="str">
        <f t="shared" si="12"/>
        <v>Beginner</v>
      </c>
      <c r="Y34" t="str">
        <f t="shared" si="13"/>
        <v>Platinum</v>
      </c>
      <c r="Z34" t="str">
        <f t="shared" si="14"/>
        <v>C</v>
      </c>
      <c r="AA34" t="str">
        <f t="shared" si="15"/>
        <v>Good</v>
      </c>
      <c r="AB34" t="str">
        <f t="shared" si="16"/>
        <v>Junior</v>
      </c>
      <c r="AC34" t="str">
        <f t="shared" si="17"/>
        <v>Poor</v>
      </c>
      <c r="AD34" t="str">
        <f t="shared" si="18"/>
        <v>Top</v>
      </c>
      <c r="AE34" t="str" cm="1">
        <f t="array" ref="AE34">_xlfn.IFS(AND(D34&gt;9000, F34&gt;95), "Eligible Bonus", TRUE, "Not Eligible")</f>
        <v>Not Eligible</v>
      </c>
      <c r="AF34" s="11" t="str" cm="1">
        <f t="array" ref="AF34">IFERROR(_xlfn.IFS(AND(C34="Sales", E34&gt;120000), "Top Sales"),"- ")</f>
        <v xml:space="preserve">- </v>
      </c>
      <c r="AG34" s="11" t="str" cm="1">
        <f t="array" ref="AG34">IFERROR(_xlfn.IFS(AND(G34&gt;5, H34&gt;=4), "Promotion"),"- ")</f>
        <v xml:space="preserve">- </v>
      </c>
      <c r="AH34" s="11" t="str" cm="1">
        <f t="array" ref="AH34">IFERROR(_xlfn.IFS(OR(D34&gt;7000, F34&gt;85), "Review Required")," - ")</f>
        <v>Review Required</v>
      </c>
      <c r="AI34" s="11" t="str" cm="1">
        <f t="array" ref="AI34">IFERROR(_xlfn.IFS(OR(J34="Inactive", F34&gt;80), "HR Action")," - ")</f>
        <v>HR Action</v>
      </c>
      <c r="AJ34" s="11" t="str" cm="1">
        <f t="array" ref="AJ34">IFERROR(_xlfn.IFS(D34&gt;=12000,"High",D34&gt;=9000,"Medium"),"Low " )</f>
        <v xml:space="preserve">Low </v>
      </c>
      <c r="AK34" t="str" cm="1">
        <f t="array" ref="AK34">IFERROR(_xlfn.IFS(F34&gt;=95,"Excellent",F34&gt;=90,"Good"),"Poor" )</f>
        <v>Good</v>
      </c>
      <c r="AL34" s="12" t="str" cm="1">
        <f t="array" ref="AL34">IFERROR(_xlfn.IFS(AND(C34="IT", H34=5,F34&gt;=90), "IT Star"), "- ")</f>
        <v xml:space="preserve">- </v>
      </c>
      <c r="AM34" s="11" t="str" cm="1">
        <f t="array" ref="AM34">IFERROR(_xlfn.IFS(OR(C34="Finance",C34="HR"),"Administration")," - ")</f>
        <v>Administration</v>
      </c>
      <c r="AN34" s="11" t="str" cm="1">
        <f t="array" ref="AN34">IFERROR(_xlfn.IFS(AND(E34&gt;100000,I34="Yes", H34&gt;=4), " Employee of Month"),"- ")</f>
        <v xml:space="preserve">- </v>
      </c>
    </row>
    <row r="35" spans="1:40" ht="15.6" x14ac:dyDescent="0.3">
      <c r="A35" t="s">
        <v>27</v>
      </c>
      <c r="B35" t="s">
        <v>28</v>
      </c>
      <c r="C35" t="s">
        <v>4</v>
      </c>
      <c r="D35">
        <v>8017</v>
      </c>
      <c r="E35">
        <v>119000</v>
      </c>
      <c r="F35">
        <v>91</v>
      </c>
      <c r="G35">
        <v>3</v>
      </c>
      <c r="H35">
        <v>3</v>
      </c>
      <c r="I35" t="s">
        <v>17</v>
      </c>
      <c r="J35" t="s">
        <v>29</v>
      </c>
      <c r="K35" t="str">
        <f t="shared" si="3"/>
        <v>High</v>
      </c>
      <c r="L35" t="str">
        <f t="shared" si="19"/>
        <v>Needs Improvement</v>
      </c>
      <c r="M35" t="str">
        <f t="shared" si="20"/>
        <v>Not Working</v>
      </c>
      <c r="N35" t="str">
        <f t="shared" si="21"/>
        <v>Bonus</v>
      </c>
      <c r="O35" t="str">
        <f t="shared" si="4"/>
        <v>Junior</v>
      </c>
      <c r="P35" t="str">
        <f t="shared" si="5"/>
        <v>Normal</v>
      </c>
      <c r="Q35" t="str">
        <f t="shared" si="6"/>
        <v>Not Achieved</v>
      </c>
      <c r="R35" t="str">
        <f t="shared" si="7"/>
        <v>Sales Team</v>
      </c>
      <c r="S35" t="str">
        <f t="shared" si="8"/>
        <v>OK</v>
      </c>
      <c r="T35" t="str">
        <f>IF(Employee_Data!F35&lt;85,"Warning","Good")</f>
        <v>Good</v>
      </c>
      <c r="U35" t="str">
        <f t="shared" si="9"/>
        <v>Average</v>
      </c>
      <c r="V35" t="str">
        <f t="shared" si="10"/>
        <v>Good</v>
      </c>
      <c r="W35" t="str">
        <f t="shared" si="11"/>
        <v>Good</v>
      </c>
      <c r="X35" t="str">
        <f t="shared" si="12"/>
        <v>Beginner</v>
      </c>
      <c r="Y35" t="str">
        <f t="shared" si="13"/>
        <v>Gold</v>
      </c>
      <c r="Z35" t="str">
        <f t="shared" si="14"/>
        <v>C</v>
      </c>
      <c r="AA35" t="str">
        <f t="shared" si="15"/>
        <v>Good</v>
      </c>
      <c r="AB35" t="str">
        <f t="shared" si="16"/>
        <v>Mid</v>
      </c>
      <c r="AC35" t="str">
        <f t="shared" si="17"/>
        <v>Average</v>
      </c>
      <c r="AD35" t="str">
        <f t="shared" si="18"/>
        <v>Good</v>
      </c>
      <c r="AE35" t="str" cm="1">
        <f t="array" ref="AE35">_xlfn.IFS(AND(D35&gt;9000, F35&gt;95), "Eligible Bonus", TRUE, "Not Eligible")</f>
        <v>Not Eligible</v>
      </c>
      <c r="AF35" s="11" t="str" cm="1">
        <f t="array" ref="AF35">IFERROR(_xlfn.IFS(AND(C35="Sales", E35&gt;120000), "Top Sales"),"- ")</f>
        <v xml:space="preserve">- </v>
      </c>
      <c r="AG35" s="11" t="str" cm="1">
        <f t="array" ref="AG35">IFERROR(_xlfn.IFS(AND(G35&gt;5, H35&gt;=4), "Promotion"),"- ")</f>
        <v xml:space="preserve">- </v>
      </c>
      <c r="AH35" s="11" t="str" cm="1">
        <f t="array" ref="AH35">IFERROR(_xlfn.IFS(OR(D35&gt;7000, F35&gt;85), "Review Required")," - ")</f>
        <v>Review Required</v>
      </c>
      <c r="AI35" s="11" t="str" cm="1">
        <f t="array" ref="AI35">IFERROR(_xlfn.IFS(OR(J35="Inactive", F35&gt;80), "HR Action")," - ")</f>
        <v>HR Action</v>
      </c>
      <c r="AJ35" s="11" t="str" cm="1">
        <f t="array" ref="AJ35">IFERROR(_xlfn.IFS(D35&gt;=12000,"High",D35&gt;=9000,"Medium"),"Low " )</f>
        <v xml:space="preserve">Low </v>
      </c>
      <c r="AK35" t="str" cm="1">
        <f t="array" ref="AK35">IFERROR(_xlfn.IFS(F35&gt;=95,"Excellent",F35&gt;=90,"Good"),"Poor" )</f>
        <v>Good</v>
      </c>
      <c r="AL35" s="12" t="str" cm="1">
        <f t="array" ref="AL35">IFERROR(_xlfn.IFS(AND(C35="IT", H35=5,F35&gt;=90), "IT Star"), "- ")</f>
        <v xml:space="preserve">- </v>
      </c>
      <c r="AM35" s="11" t="str" cm="1">
        <f t="array" ref="AM35">IFERROR(_xlfn.IFS(OR(C35="Finance",C35="HR"),"Administration")," - ")</f>
        <v xml:space="preserve"> - </v>
      </c>
      <c r="AN35" s="11" t="str" cm="1">
        <f t="array" ref="AN35">IFERROR(_xlfn.IFS(AND(E35&gt;100000,I35="Yes", H35&gt;=4), " Employee of Month"),"- ")</f>
        <v xml:space="preserve">- </v>
      </c>
    </row>
    <row r="36" spans="1:40" ht="15.6" x14ac:dyDescent="0.3">
      <c r="A36" t="s">
        <v>59</v>
      </c>
      <c r="B36" t="s">
        <v>41</v>
      </c>
      <c r="C36" t="s">
        <v>16</v>
      </c>
      <c r="D36">
        <v>8068</v>
      </c>
      <c r="E36">
        <v>36000</v>
      </c>
      <c r="F36">
        <v>92</v>
      </c>
      <c r="G36">
        <v>9</v>
      </c>
      <c r="H36">
        <v>4</v>
      </c>
      <c r="I36" t="s">
        <v>12</v>
      </c>
      <c r="J36" t="s">
        <v>29</v>
      </c>
      <c r="K36" t="str">
        <f t="shared" si="3"/>
        <v>High</v>
      </c>
      <c r="L36" t="str">
        <f t="shared" si="19"/>
        <v>Needs Improvement</v>
      </c>
      <c r="M36" t="str">
        <f t="shared" si="20"/>
        <v>Not Working</v>
      </c>
      <c r="N36" t="str">
        <f t="shared" si="21"/>
        <v>No Bonus</v>
      </c>
      <c r="O36" t="str">
        <f t="shared" si="4"/>
        <v>Senior</v>
      </c>
      <c r="P36" t="str">
        <f t="shared" si="5"/>
        <v>Normal</v>
      </c>
      <c r="Q36" t="str">
        <f t="shared" si="6"/>
        <v>Achieved</v>
      </c>
      <c r="R36" t="str">
        <f t="shared" si="7"/>
        <v>Other Team</v>
      </c>
      <c r="S36" t="str">
        <f t="shared" si="8"/>
        <v>OK</v>
      </c>
      <c r="T36" t="str">
        <f>IF(Employee_Data!F36&lt;85,"Warning","Good")</f>
        <v>Good</v>
      </c>
      <c r="U36" t="str">
        <f t="shared" si="9"/>
        <v>Average</v>
      </c>
      <c r="V36" t="str">
        <f t="shared" si="10"/>
        <v>Good</v>
      </c>
      <c r="W36" t="str">
        <f t="shared" si="11"/>
        <v>Very Good</v>
      </c>
      <c r="X36" t="str">
        <f t="shared" si="12"/>
        <v>Experienced</v>
      </c>
      <c r="Y36" t="str">
        <f t="shared" si="13"/>
        <v>Silver</v>
      </c>
      <c r="Z36" t="str">
        <f t="shared" si="14"/>
        <v>C</v>
      </c>
      <c r="AA36" t="str">
        <f t="shared" si="15"/>
        <v>Good</v>
      </c>
      <c r="AB36" t="str">
        <f t="shared" si="16"/>
        <v>Expert</v>
      </c>
      <c r="AC36" t="str">
        <f t="shared" si="17"/>
        <v>Good</v>
      </c>
      <c r="AD36" t="str">
        <f t="shared" si="18"/>
        <v>Low</v>
      </c>
      <c r="AE36" t="str" cm="1">
        <f t="array" ref="AE36">_xlfn.IFS(AND(D36&gt;9000, F36&gt;95), "Eligible Bonus", TRUE, "Not Eligible")</f>
        <v>Not Eligible</v>
      </c>
      <c r="AF36" s="11" t="str" cm="1">
        <f t="array" ref="AF36">IFERROR(_xlfn.IFS(AND(C36="Sales", E36&gt;120000), "Top Sales"),"- ")</f>
        <v xml:space="preserve">- </v>
      </c>
      <c r="AG36" s="11" t="str" cm="1">
        <f t="array" ref="AG36">IFERROR(_xlfn.IFS(AND(G36&gt;5, H36&gt;=4), "Promotion"),"- ")</f>
        <v>Promotion</v>
      </c>
      <c r="AH36" s="11" t="str" cm="1">
        <f t="array" ref="AH36">IFERROR(_xlfn.IFS(OR(D36&gt;7000, F36&gt;85), "Review Required")," - ")</f>
        <v>Review Required</v>
      </c>
      <c r="AI36" s="11" t="str" cm="1">
        <f t="array" ref="AI36">IFERROR(_xlfn.IFS(OR(J36="Inactive", F36&gt;80), "HR Action")," - ")</f>
        <v>HR Action</v>
      </c>
      <c r="AJ36" s="11" t="str" cm="1">
        <f t="array" ref="AJ36">IFERROR(_xlfn.IFS(D36&gt;=12000,"High",D36&gt;=9000,"Medium"),"Low " )</f>
        <v xml:space="preserve">Low </v>
      </c>
      <c r="AK36" t="str" cm="1">
        <f t="array" ref="AK36">IFERROR(_xlfn.IFS(F36&gt;=95,"Excellent",F36&gt;=90,"Good"),"Poor" )</f>
        <v>Good</v>
      </c>
      <c r="AL36" s="12" t="str" cm="1">
        <f t="array" ref="AL36">IFERROR(_xlfn.IFS(AND(C36="IT", H36=5,F36&gt;=90), "IT Star"), "- ")</f>
        <v xml:space="preserve">- </v>
      </c>
      <c r="AM36" s="11" t="str" cm="1">
        <f t="array" ref="AM36">IFERROR(_xlfn.IFS(OR(C36="Finance",C36="HR"),"Administration")," - ")</f>
        <v>Administration</v>
      </c>
      <c r="AN36" s="11" t="str" cm="1">
        <f t="array" ref="AN36">IFERROR(_xlfn.IFS(AND(E36&gt;100000,I36="Yes", H36&gt;=4), " Employee of Month"),"- ")</f>
        <v xml:space="preserve">- </v>
      </c>
    </row>
    <row r="37" spans="1:40" ht="15.6" x14ac:dyDescent="0.3">
      <c r="A37" t="s">
        <v>80</v>
      </c>
      <c r="B37" t="s">
        <v>19</v>
      </c>
      <c r="C37" t="s">
        <v>20</v>
      </c>
      <c r="D37">
        <v>8119</v>
      </c>
      <c r="E37">
        <v>173000</v>
      </c>
      <c r="F37">
        <v>93</v>
      </c>
      <c r="G37">
        <v>3</v>
      </c>
      <c r="H37">
        <v>5</v>
      </c>
      <c r="I37" t="s">
        <v>17</v>
      </c>
      <c r="J37" t="s">
        <v>29</v>
      </c>
      <c r="K37" t="str">
        <f t="shared" si="3"/>
        <v>High</v>
      </c>
      <c r="L37" t="str">
        <f t="shared" si="19"/>
        <v>Needs Improvement</v>
      </c>
      <c r="M37" t="str">
        <f t="shared" si="20"/>
        <v>Not Working</v>
      </c>
      <c r="N37" t="str">
        <f t="shared" si="21"/>
        <v>Bonus</v>
      </c>
      <c r="O37" t="str">
        <f t="shared" si="4"/>
        <v>Junior</v>
      </c>
      <c r="P37" t="str">
        <f t="shared" si="5"/>
        <v>Outstanding</v>
      </c>
      <c r="Q37" t="str">
        <f t="shared" si="6"/>
        <v>Not Achieved</v>
      </c>
      <c r="R37" t="str">
        <f t="shared" si="7"/>
        <v>Other Team</v>
      </c>
      <c r="S37" t="str">
        <f t="shared" si="8"/>
        <v>OK</v>
      </c>
      <c r="T37" t="str">
        <f>IF(Employee_Data!F37&lt;85,"Warning","Good")</f>
        <v>Good</v>
      </c>
      <c r="U37" t="str">
        <f t="shared" si="9"/>
        <v>Average</v>
      </c>
      <c r="V37" t="str">
        <f t="shared" si="10"/>
        <v>Good</v>
      </c>
      <c r="W37" t="str">
        <f t="shared" si="11"/>
        <v>Outstanding</v>
      </c>
      <c r="X37" t="str">
        <f t="shared" si="12"/>
        <v>Beginner</v>
      </c>
      <c r="Y37" t="str">
        <f t="shared" si="13"/>
        <v>Platinum</v>
      </c>
      <c r="Z37" t="str">
        <f t="shared" si="14"/>
        <v>C</v>
      </c>
      <c r="AA37" t="str">
        <f t="shared" si="15"/>
        <v>Good</v>
      </c>
      <c r="AB37" t="str">
        <f t="shared" si="16"/>
        <v>Mid</v>
      </c>
      <c r="AC37" t="str">
        <f t="shared" si="17"/>
        <v>Excellent</v>
      </c>
      <c r="AD37" t="str">
        <f t="shared" si="18"/>
        <v>Best</v>
      </c>
      <c r="AE37" t="str" cm="1">
        <f t="array" ref="AE37">_xlfn.IFS(AND(D37&gt;9000, F37&gt;95), "Eligible Bonus", TRUE, "Not Eligible")</f>
        <v>Not Eligible</v>
      </c>
      <c r="AF37" s="11" t="str" cm="1">
        <f t="array" ref="AF37">IFERROR(_xlfn.IFS(AND(C37="Sales", E37&gt;120000), "Top Sales"),"- ")</f>
        <v xml:space="preserve">- </v>
      </c>
      <c r="AG37" s="11" t="str" cm="1">
        <f t="array" ref="AG37">IFERROR(_xlfn.IFS(AND(G37&gt;5, H37&gt;=4), "Promotion"),"- ")</f>
        <v xml:space="preserve">- </v>
      </c>
      <c r="AH37" s="11" t="str" cm="1">
        <f t="array" ref="AH37">IFERROR(_xlfn.IFS(OR(D37&gt;7000, F37&gt;85), "Review Required")," - ")</f>
        <v>Review Required</v>
      </c>
      <c r="AI37" s="11" t="str" cm="1">
        <f t="array" ref="AI37">IFERROR(_xlfn.IFS(OR(J37="Inactive", F37&gt;80), "HR Action")," - ")</f>
        <v>HR Action</v>
      </c>
      <c r="AJ37" s="11" t="str" cm="1">
        <f t="array" ref="AJ37">IFERROR(_xlfn.IFS(D37&gt;=12000,"High",D37&gt;=9000,"Medium"),"Low " )</f>
        <v xml:space="preserve">Low </v>
      </c>
      <c r="AK37" t="str" cm="1">
        <f t="array" ref="AK37">IFERROR(_xlfn.IFS(F37&gt;=95,"Excellent",F37&gt;=90,"Good"),"Poor" )</f>
        <v>Good</v>
      </c>
      <c r="AL37" s="12" t="str" cm="1">
        <f t="array" ref="AL37">IFERROR(_xlfn.IFS(AND(C37="IT", H37=5,F37&gt;=90), "IT Star"), "- ")</f>
        <v>IT Star</v>
      </c>
      <c r="AM37" s="11" t="str" cm="1">
        <f t="array" ref="AM37">IFERROR(_xlfn.IFS(OR(C37="Finance",C37="HR"),"Administration")," - ")</f>
        <v xml:space="preserve"> - </v>
      </c>
      <c r="AN37" s="11" t="str" cm="1">
        <f t="array" ref="AN37">IFERROR(_xlfn.IFS(AND(E37&gt;100000,I37="Yes", H37&gt;=4), " Employee of Month"),"- ")</f>
        <v xml:space="preserve">- </v>
      </c>
    </row>
    <row r="38" spans="1:40" ht="15.6" x14ac:dyDescent="0.3">
      <c r="A38" t="s">
        <v>101</v>
      </c>
      <c r="B38" t="s">
        <v>35</v>
      </c>
      <c r="C38" t="s">
        <v>23</v>
      </c>
      <c r="D38">
        <v>8170</v>
      </c>
      <c r="E38">
        <v>90000</v>
      </c>
      <c r="F38">
        <v>94</v>
      </c>
      <c r="G38">
        <v>9</v>
      </c>
      <c r="H38">
        <v>1</v>
      </c>
      <c r="I38" t="s">
        <v>12</v>
      </c>
      <c r="J38" t="s">
        <v>29</v>
      </c>
      <c r="K38" t="str">
        <f t="shared" si="3"/>
        <v>High</v>
      </c>
      <c r="L38" t="str">
        <f t="shared" si="19"/>
        <v>Needs Improvement</v>
      </c>
      <c r="M38" t="str">
        <f t="shared" si="20"/>
        <v>Not Working</v>
      </c>
      <c r="N38" t="str">
        <f t="shared" si="21"/>
        <v>No Bonus</v>
      </c>
      <c r="O38" t="str">
        <f t="shared" si="4"/>
        <v>Senior</v>
      </c>
      <c r="P38" t="str">
        <f t="shared" si="5"/>
        <v>Normal</v>
      </c>
      <c r="Q38" t="str">
        <f t="shared" si="6"/>
        <v>Achieved</v>
      </c>
      <c r="R38" t="str">
        <f t="shared" si="7"/>
        <v>Other Team</v>
      </c>
      <c r="S38" t="str">
        <f t="shared" si="8"/>
        <v>OK</v>
      </c>
      <c r="T38" t="str">
        <f>IF(Employee_Data!F38&lt;85,"Warning","Good")</f>
        <v>Good</v>
      </c>
      <c r="U38" t="str">
        <f t="shared" si="9"/>
        <v>Average</v>
      </c>
      <c r="V38" t="str">
        <f t="shared" si="10"/>
        <v>Good</v>
      </c>
      <c r="W38" t="str">
        <f t="shared" si="11"/>
        <v>Needs Improvement</v>
      </c>
      <c r="X38" t="str">
        <f t="shared" si="12"/>
        <v>Experienced</v>
      </c>
      <c r="Y38" t="str">
        <f t="shared" si="13"/>
        <v>Silver</v>
      </c>
      <c r="Z38" t="str">
        <f t="shared" si="14"/>
        <v>C</v>
      </c>
      <c r="AA38" t="str">
        <f t="shared" si="15"/>
        <v>Good</v>
      </c>
      <c r="AB38" t="str">
        <f t="shared" si="16"/>
        <v>Expert</v>
      </c>
      <c r="AC38" t="str">
        <f t="shared" si="17"/>
        <v>Poor</v>
      </c>
      <c r="AD38" t="str">
        <f t="shared" si="18"/>
        <v>Good</v>
      </c>
      <c r="AE38" t="str" cm="1">
        <f t="array" ref="AE38">_xlfn.IFS(AND(D38&gt;9000, F38&gt;95), "Eligible Bonus", TRUE, "Not Eligible")</f>
        <v>Not Eligible</v>
      </c>
      <c r="AF38" s="11" t="str" cm="1">
        <f t="array" ref="AF38">IFERROR(_xlfn.IFS(AND(C38="Sales", E38&gt;120000), "Top Sales"),"- ")</f>
        <v xml:space="preserve">- </v>
      </c>
      <c r="AG38" s="11" t="str" cm="1">
        <f t="array" ref="AG38">IFERROR(_xlfn.IFS(AND(G38&gt;5, H38&gt;=4), "Promotion"),"- ")</f>
        <v xml:space="preserve">- </v>
      </c>
      <c r="AH38" s="11" t="str" cm="1">
        <f t="array" ref="AH38">IFERROR(_xlfn.IFS(OR(D38&gt;7000, F38&gt;85), "Review Required")," - ")</f>
        <v>Review Required</v>
      </c>
      <c r="AI38" s="11" t="str" cm="1">
        <f t="array" ref="AI38">IFERROR(_xlfn.IFS(OR(J38="Inactive", F38&gt;80), "HR Action")," - ")</f>
        <v>HR Action</v>
      </c>
      <c r="AJ38" s="11" t="str" cm="1">
        <f t="array" ref="AJ38">IFERROR(_xlfn.IFS(D38&gt;=12000,"High",D38&gt;=9000,"Medium"),"Low " )</f>
        <v xml:space="preserve">Low </v>
      </c>
      <c r="AK38" t="str" cm="1">
        <f t="array" ref="AK38">IFERROR(_xlfn.IFS(F38&gt;=95,"Excellent",F38&gt;=90,"Good"),"Poor" )</f>
        <v>Good</v>
      </c>
      <c r="AL38" s="12" t="str" cm="1">
        <f t="array" ref="AL38">IFERROR(_xlfn.IFS(AND(C38="IT", H38=5,F38&gt;=90), "IT Star"), "- ")</f>
        <v xml:space="preserve">- </v>
      </c>
      <c r="AM38" s="11" t="str" cm="1">
        <f t="array" ref="AM38">IFERROR(_xlfn.IFS(OR(C38="Finance",C38="HR"),"Administration")," - ")</f>
        <v>Administration</v>
      </c>
      <c r="AN38" s="11" t="str" cm="1">
        <f t="array" ref="AN38">IFERROR(_xlfn.IFS(AND(E38&gt;100000,I38="Yes", H38&gt;=4), " Employee of Month"),"- ")</f>
        <v xml:space="preserve">- </v>
      </c>
    </row>
    <row r="39" spans="1:40" ht="15.6" x14ac:dyDescent="0.3">
      <c r="A39" t="s">
        <v>122</v>
      </c>
      <c r="B39" t="s">
        <v>47</v>
      </c>
      <c r="C39" t="s">
        <v>26</v>
      </c>
      <c r="D39">
        <v>8221</v>
      </c>
      <c r="E39">
        <v>7000</v>
      </c>
      <c r="F39">
        <v>95</v>
      </c>
      <c r="G39">
        <v>3</v>
      </c>
      <c r="H39">
        <v>2</v>
      </c>
      <c r="I39" t="s">
        <v>17</v>
      </c>
      <c r="J39" t="s">
        <v>29</v>
      </c>
      <c r="K39" t="str">
        <f t="shared" si="3"/>
        <v>High</v>
      </c>
      <c r="L39" t="str">
        <f t="shared" si="19"/>
        <v>Excellent</v>
      </c>
      <c r="M39" t="str">
        <f t="shared" si="20"/>
        <v>Not Working</v>
      </c>
      <c r="N39" t="str">
        <f t="shared" si="21"/>
        <v>No Bonus</v>
      </c>
      <c r="O39" t="str">
        <f t="shared" si="4"/>
        <v>Junior</v>
      </c>
      <c r="P39" t="str">
        <f t="shared" si="5"/>
        <v>Normal</v>
      </c>
      <c r="Q39" t="str">
        <f t="shared" si="6"/>
        <v>Not Achieved</v>
      </c>
      <c r="R39" t="str">
        <f t="shared" si="7"/>
        <v>Other Team</v>
      </c>
      <c r="S39" t="str">
        <f t="shared" si="8"/>
        <v>OK</v>
      </c>
      <c r="T39" t="str">
        <f>IF(Employee_Data!F39&lt;85,"Warning","Good")</f>
        <v>Good</v>
      </c>
      <c r="U39" t="str">
        <f t="shared" si="9"/>
        <v>Average</v>
      </c>
      <c r="V39" t="str">
        <f t="shared" si="10"/>
        <v>Excellent</v>
      </c>
      <c r="W39" t="str">
        <f t="shared" si="11"/>
        <v>Needs Improvement</v>
      </c>
      <c r="X39" t="str">
        <f t="shared" si="12"/>
        <v>Beginner</v>
      </c>
      <c r="Y39" t="str">
        <f t="shared" si="13"/>
        <v>Silver</v>
      </c>
      <c r="Z39" t="str">
        <f t="shared" si="14"/>
        <v>C</v>
      </c>
      <c r="AA39" t="str">
        <f t="shared" si="15"/>
        <v>Perfect</v>
      </c>
      <c r="AB39" t="str">
        <f t="shared" si="16"/>
        <v>Mid</v>
      </c>
      <c r="AC39" t="str">
        <f t="shared" si="17"/>
        <v>Average</v>
      </c>
      <c r="AD39" t="str">
        <f t="shared" si="18"/>
        <v>Low</v>
      </c>
      <c r="AE39" t="str" cm="1">
        <f t="array" ref="AE39">_xlfn.IFS(AND(D39&gt;9000, F39&gt;95), "Eligible Bonus", TRUE, "Not Eligible")</f>
        <v>Not Eligible</v>
      </c>
      <c r="AF39" s="11" t="str" cm="1">
        <f t="array" ref="AF39">IFERROR(_xlfn.IFS(AND(C39="Sales", E39&gt;120000), "Top Sales"),"- ")</f>
        <v xml:space="preserve">- </v>
      </c>
      <c r="AG39" s="11" t="str" cm="1">
        <f t="array" ref="AG39">IFERROR(_xlfn.IFS(AND(G39&gt;5, H39&gt;=4), "Promotion"),"- ")</f>
        <v xml:space="preserve">- </v>
      </c>
      <c r="AH39" s="11" t="str" cm="1">
        <f t="array" ref="AH39">IFERROR(_xlfn.IFS(OR(D39&gt;7000, F39&gt;85), "Review Required")," - ")</f>
        <v>Review Required</v>
      </c>
      <c r="AI39" s="11" t="str" cm="1">
        <f t="array" ref="AI39">IFERROR(_xlfn.IFS(OR(J39="Inactive", F39&gt;80), "HR Action")," - ")</f>
        <v>HR Action</v>
      </c>
      <c r="AJ39" s="11" t="str" cm="1">
        <f t="array" ref="AJ39">IFERROR(_xlfn.IFS(D39&gt;=12000,"High",D39&gt;=9000,"Medium"),"Low " )</f>
        <v xml:space="preserve">Low </v>
      </c>
      <c r="AK39" t="str" cm="1">
        <f t="array" ref="AK39">IFERROR(_xlfn.IFS(F39&gt;=95,"Excellent",F39&gt;=90,"Good"),"Poor" )</f>
        <v>Excellent</v>
      </c>
      <c r="AL39" s="12" t="str" cm="1">
        <f t="array" ref="AL39">IFERROR(_xlfn.IFS(AND(C39="IT", H39=5,F39&gt;=90), "IT Star"), "- ")</f>
        <v xml:space="preserve">- </v>
      </c>
      <c r="AM39" s="11" t="str" cm="1">
        <f t="array" ref="AM39">IFERROR(_xlfn.IFS(OR(C39="Finance",C39="HR"),"Administration")," - ")</f>
        <v xml:space="preserve"> - </v>
      </c>
      <c r="AN39" s="11" t="str" cm="1">
        <f t="array" ref="AN39">IFERROR(_xlfn.IFS(AND(E39&gt;100000,I39="Yes", H39&gt;=4), " Employee of Month"),"- ")</f>
        <v xml:space="preserve">- </v>
      </c>
    </row>
    <row r="40" spans="1:40" ht="15.6" x14ac:dyDescent="0.3">
      <c r="A40" t="s">
        <v>30</v>
      </c>
      <c r="B40" t="s">
        <v>31</v>
      </c>
      <c r="C40" t="s">
        <v>16</v>
      </c>
      <c r="D40">
        <v>8448</v>
      </c>
      <c r="E40">
        <v>136000</v>
      </c>
      <c r="F40">
        <v>94</v>
      </c>
      <c r="G40">
        <v>5</v>
      </c>
      <c r="H40">
        <v>4</v>
      </c>
      <c r="I40" t="s">
        <v>12</v>
      </c>
      <c r="J40" t="s">
        <v>13</v>
      </c>
      <c r="K40" t="str">
        <f t="shared" si="3"/>
        <v>High</v>
      </c>
      <c r="L40" t="str">
        <f t="shared" si="19"/>
        <v>Needs Improvement</v>
      </c>
      <c r="M40" t="str">
        <f t="shared" si="20"/>
        <v>Working</v>
      </c>
      <c r="N40" t="str">
        <f t="shared" si="21"/>
        <v>Bonus</v>
      </c>
      <c r="O40" t="str">
        <f t="shared" si="4"/>
        <v>Senior</v>
      </c>
      <c r="P40" t="str">
        <f t="shared" si="5"/>
        <v>Normal</v>
      </c>
      <c r="Q40" t="str">
        <f t="shared" si="6"/>
        <v>Achieved</v>
      </c>
      <c r="R40" t="str">
        <f t="shared" si="7"/>
        <v>Other Team</v>
      </c>
      <c r="S40" t="str">
        <f t="shared" si="8"/>
        <v>OK</v>
      </c>
      <c r="T40" t="str">
        <f>IF(Employee_Data!F40&lt;85,"Warning","Good")</f>
        <v>Good</v>
      </c>
      <c r="U40" t="str">
        <f t="shared" si="9"/>
        <v>Average</v>
      </c>
      <c r="V40" t="str">
        <f t="shared" si="10"/>
        <v>Good</v>
      </c>
      <c r="W40" t="str">
        <f t="shared" si="11"/>
        <v>Very Good</v>
      </c>
      <c r="X40" t="str">
        <f t="shared" si="12"/>
        <v>Experienced</v>
      </c>
      <c r="Y40" t="str">
        <f t="shared" si="13"/>
        <v>Gold</v>
      </c>
      <c r="Z40" t="str">
        <f t="shared" si="14"/>
        <v>C</v>
      </c>
      <c r="AA40" t="str">
        <f t="shared" si="15"/>
        <v>Good</v>
      </c>
      <c r="AB40" t="str">
        <f t="shared" si="16"/>
        <v>Senior</v>
      </c>
      <c r="AC40" t="str">
        <f t="shared" si="17"/>
        <v>Good</v>
      </c>
      <c r="AD40" t="str">
        <f t="shared" si="18"/>
        <v>Best</v>
      </c>
      <c r="AE40" t="str" cm="1">
        <f t="array" ref="AE40">_xlfn.IFS(AND(D40&gt;9000, F40&gt;95), "Eligible Bonus", TRUE, "Not Eligible")</f>
        <v>Not Eligible</v>
      </c>
      <c r="AF40" s="11" t="str" cm="1">
        <f t="array" ref="AF40">IFERROR(_xlfn.IFS(AND(C40="Sales", E40&gt;120000), "Top Sales"),"- ")</f>
        <v xml:space="preserve">- </v>
      </c>
      <c r="AG40" s="11" t="str" cm="1">
        <f t="array" ref="AG40">IFERROR(_xlfn.IFS(AND(G40&gt;5, H40&gt;=4), "Promotion"),"- ")</f>
        <v xml:space="preserve">- </v>
      </c>
      <c r="AH40" s="11" t="str" cm="1">
        <f t="array" ref="AH40">IFERROR(_xlfn.IFS(OR(D40&gt;7000, F40&gt;85), "Review Required")," - ")</f>
        <v>Review Required</v>
      </c>
      <c r="AI40" s="11" t="str" cm="1">
        <f t="array" ref="AI40">IFERROR(_xlfn.IFS(OR(J40="Inactive", F40&gt;80), "HR Action")," - ")</f>
        <v>HR Action</v>
      </c>
      <c r="AJ40" s="11" t="str" cm="1">
        <f t="array" ref="AJ40">IFERROR(_xlfn.IFS(D40&gt;=12000,"High",D40&gt;=9000,"Medium"),"Low " )</f>
        <v xml:space="preserve">Low </v>
      </c>
      <c r="AK40" t="str" cm="1">
        <f t="array" ref="AK40">IFERROR(_xlfn.IFS(F40&gt;=95,"Excellent",F40&gt;=90,"Good"),"Poor" )</f>
        <v>Good</v>
      </c>
      <c r="AL40" s="12" t="str" cm="1">
        <f t="array" ref="AL40">IFERROR(_xlfn.IFS(AND(C40="IT", H40=5,F40&gt;=90), "IT Star"), "- ")</f>
        <v xml:space="preserve">- </v>
      </c>
      <c r="AM40" s="11" t="str" cm="1">
        <f t="array" ref="AM40">IFERROR(_xlfn.IFS(OR(C40="Finance",C40="HR"),"Administration")," - ")</f>
        <v>Administration</v>
      </c>
      <c r="AN40" s="11" t="str" cm="1">
        <f t="array" ref="AN40">IFERROR(_xlfn.IFS(AND(E40&gt;100000,I40="Yes", H40&gt;=4), " Employee of Month"),"- ")</f>
        <v xml:space="preserve"> Employee of Month</v>
      </c>
    </row>
    <row r="41" spans="1:40" ht="15.6" x14ac:dyDescent="0.3">
      <c r="A41" t="s">
        <v>60</v>
      </c>
      <c r="B41" t="s">
        <v>43</v>
      </c>
      <c r="C41" t="s">
        <v>20</v>
      </c>
      <c r="D41">
        <v>8499</v>
      </c>
      <c r="E41">
        <v>53000</v>
      </c>
      <c r="F41">
        <v>95</v>
      </c>
      <c r="G41">
        <v>11</v>
      </c>
      <c r="H41">
        <v>5</v>
      </c>
      <c r="I41" t="s">
        <v>17</v>
      </c>
      <c r="J41" t="s">
        <v>13</v>
      </c>
      <c r="K41" t="str">
        <f t="shared" si="3"/>
        <v>High</v>
      </c>
      <c r="L41" t="str">
        <f t="shared" si="19"/>
        <v>Excellent</v>
      </c>
      <c r="M41" t="str">
        <f t="shared" si="20"/>
        <v>Working</v>
      </c>
      <c r="N41" t="str">
        <f t="shared" si="21"/>
        <v>No Bonus</v>
      </c>
      <c r="O41" t="str">
        <f t="shared" si="4"/>
        <v>Senior</v>
      </c>
      <c r="P41" t="str">
        <f t="shared" si="5"/>
        <v>Outstanding</v>
      </c>
      <c r="Q41" t="str">
        <f t="shared" si="6"/>
        <v>Not Achieved</v>
      </c>
      <c r="R41" t="str">
        <f t="shared" si="7"/>
        <v>Other Team</v>
      </c>
      <c r="S41" t="str">
        <f t="shared" si="8"/>
        <v>OK</v>
      </c>
      <c r="T41" t="str">
        <f>IF(Employee_Data!F41&lt;85,"Warning","Good")</f>
        <v>Good</v>
      </c>
      <c r="U41" t="str">
        <f t="shared" si="9"/>
        <v>Average</v>
      </c>
      <c r="V41" t="str">
        <f t="shared" si="10"/>
        <v>Excellent</v>
      </c>
      <c r="W41" t="str">
        <f t="shared" si="11"/>
        <v>Outstanding</v>
      </c>
      <c r="X41" t="str">
        <f t="shared" si="12"/>
        <v>Exper</v>
      </c>
      <c r="Y41" t="str">
        <f t="shared" si="13"/>
        <v>Silver</v>
      </c>
      <c r="Z41" t="str">
        <f t="shared" si="14"/>
        <v>C</v>
      </c>
      <c r="AA41" t="str">
        <f t="shared" si="15"/>
        <v>Perfect</v>
      </c>
      <c r="AB41" t="str">
        <f t="shared" si="16"/>
        <v>Expert</v>
      </c>
      <c r="AC41" t="str">
        <f t="shared" si="17"/>
        <v>Excellent</v>
      </c>
      <c r="AD41" t="str">
        <f t="shared" si="18"/>
        <v>Low</v>
      </c>
      <c r="AE41" t="str" cm="1">
        <f t="array" ref="AE41">_xlfn.IFS(AND(D41&gt;9000, F41&gt;95), "Eligible Bonus", TRUE, "Not Eligible")</f>
        <v>Not Eligible</v>
      </c>
      <c r="AF41" s="11" t="str" cm="1">
        <f t="array" ref="AF41">IFERROR(_xlfn.IFS(AND(C41="Sales", E41&gt;120000), "Top Sales"),"- ")</f>
        <v xml:space="preserve">- </v>
      </c>
      <c r="AG41" s="11" t="str" cm="1">
        <f t="array" ref="AG41">IFERROR(_xlfn.IFS(AND(G41&gt;5, H41&gt;=4), "Promotion"),"- ")</f>
        <v>Promotion</v>
      </c>
      <c r="AH41" s="11" t="str" cm="1">
        <f t="array" ref="AH41">IFERROR(_xlfn.IFS(OR(D41&gt;7000, F41&gt;85), "Review Required")," - ")</f>
        <v>Review Required</v>
      </c>
      <c r="AI41" s="11" t="str" cm="1">
        <f t="array" ref="AI41">IFERROR(_xlfn.IFS(OR(J41="Inactive", F41&gt;80), "HR Action")," - ")</f>
        <v>HR Action</v>
      </c>
      <c r="AJ41" s="11" t="str" cm="1">
        <f t="array" ref="AJ41">IFERROR(_xlfn.IFS(D41&gt;=12000,"High",D41&gt;=9000,"Medium"),"Low " )</f>
        <v xml:space="preserve">Low </v>
      </c>
      <c r="AK41" t="str" cm="1">
        <f t="array" ref="AK41">IFERROR(_xlfn.IFS(F41&gt;=95,"Excellent",F41&gt;=90,"Good"),"Poor" )</f>
        <v>Excellent</v>
      </c>
      <c r="AL41" s="12" t="str" cm="1">
        <f t="array" ref="AL41">IFERROR(_xlfn.IFS(AND(C41="IT", H41=5,F41&gt;=90), "IT Star"), "- ")</f>
        <v>IT Star</v>
      </c>
      <c r="AM41" s="11" t="str" cm="1">
        <f t="array" ref="AM41">IFERROR(_xlfn.IFS(OR(C41="Finance",C41="HR"),"Administration")," - ")</f>
        <v xml:space="preserve"> - </v>
      </c>
      <c r="AN41" s="11" t="str" cm="1">
        <f t="array" ref="AN41">IFERROR(_xlfn.IFS(AND(E41&gt;100000,I41="Yes", H41&gt;=4), " Employee of Month"),"- ")</f>
        <v xml:space="preserve">- </v>
      </c>
    </row>
    <row r="42" spans="1:40" ht="15.6" x14ac:dyDescent="0.3">
      <c r="A42" t="s">
        <v>81</v>
      </c>
      <c r="B42" t="s">
        <v>22</v>
      </c>
      <c r="C42" t="s">
        <v>23</v>
      </c>
      <c r="D42">
        <v>8550</v>
      </c>
      <c r="E42">
        <v>190000</v>
      </c>
      <c r="F42">
        <v>96</v>
      </c>
      <c r="G42">
        <v>5</v>
      </c>
      <c r="H42">
        <v>1</v>
      </c>
      <c r="I42" t="s">
        <v>12</v>
      </c>
      <c r="J42" t="s">
        <v>13</v>
      </c>
      <c r="K42" t="str">
        <f t="shared" si="3"/>
        <v>High</v>
      </c>
      <c r="L42" t="str">
        <f t="shared" si="19"/>
        <v>Excellent</v>
      </c>
      <c r="M42" t="str">
        <f t="shared" si="20"/>
        <v>Working</v>
      </c>
      <c r="N42" t="str">
        <f t="shared" si="21"/>
        <v>Bonus</v>
      </c>
      <c r="O42" t="str">
        <f t="shared" si="4"/>
        <v>Senior</v>
      </c>
      <c r="P42" t="str">
        <f t="shared" si="5"/>
        <v>Normal</v>
      </c>
      <c r="Q42" t="str">
        <f t="shared" si="6"/>
        <v>Achieved</v>
      </c>
      <c r="R42" t="str">
        <f t="shared" si="7"/>
        <v>Other Team</v>
      </c>
      <c r="S42" t="str">
        <f t="shared" si="8"/>
        <v>OK</v>
      </c>
      <c r="T42" t="str">
        <f>IF(Employee_Data!F42&lt;85,"Warning","Good")</f>
        <v>Good</v>
      </c>
      <c r="U42" t="str">
        <f t="shared" si="9"/>
        <v>Average</v>
      </c>
      <c r="V42" t="str">
        <f t="shared" si="10"/>
        <v>Excellent</v>
      </c>
      <c r="W42" t="str">
        <f t="shared" si="11"/>
        <v>Needs Improvement</v>
      </c>
      <c r="X42" t="str">
        <f t="shared" si="12"/>
        <v>Experienced</v>
      </c>
      <c r="Y42" t="str">
        <f t="shared" si="13"/>
        <v>Platinum</v>
      </c>
      <c r="Z42" t="str">
        <f t="shared" si="14"/>
        <v>C</v>
      </c>
      <c r="AA42" t="str">
        <f t="shared" si="15"/>
        <v>Perfect</v>
      </c>
      <c r="AB42" t="str">
        <f t="shared" si="16"/>
        <v>Senior</v>
      </c>
      <c r="AC42" t="str">
        <f t="shared" si="17"/>
        <v>Poor</v>
      </c>
      <c r="AD42" t="str">
        <f t="shared" si="18"/>
        <v>Top</v>
      </c>
      <c r="AE42" t="str" cm="1">
        <f t="array" ref="AE42">_xlfn.IFS(AND(D42&gt;9000, F42&gt;95), "Eligible Bonus", TRUE, "Not Eligible")</f>
        <v>Not Eligible</v>
      </c>
      <c r="AF42" s="11" t="str" cm="1">
        <f t="array" ref="AF42">IFERROR(_xlfn.IFS(AND(C42="Sales", E42&gt;120000), "Top Sales"),"- ")</f>
        <v xml:space="preserve">- </v>
      </c>
      <c r="AG42" s="11" t="str" cm="1">
        <f t="array" ref="AG42">IFERROR(_xlfn.IFS(AND(G42&gt;5, H42&gt;=4), "Promotion"),"- ")</f>
        <v xml:space="preserve">- </v>
      </c>
      <c r="AH42" s="11" t="str" cm="1">
        <f t="array" ref="AH42">IFERROR(_xlfn.IFS(OR(D42&gt;7000, F42&gt;85), "Review Required")," - ")</f>
        <v>Review Required</v>
      </c>
      <c r="AI42" s="11" t="str" cm="1">
        <f t="array" ref="AI42">IFERROR(_xlfn.IFS(OR(J42="Inactive", F42&gt;80), "HR Action")," - ")</f>
        <v>HR Action</v>
      </c>
      <c r="AJ42" s="11" t="str" cm="1">
        <f t="array" ref="AJ42">IFERROR(_xlfn.IFS(D42&gt;=12000,"High",D42&gt;=9000,"Medium"),"Low " )</f>
        <v xml:space="preserve">Low </v>
      </c>
      <c r="AK42" t="str" cm="1">
        <f t="array" ref="AK42">IFERROR(_xlfn.IFS(F42&gt;=95,"Excellent",F42&gt;=90,"Good"),"Poor" )</f>
        <v>Excellent</v>
      </c>
      <c r="AL42" s="12" t="str" cm="1">
        <f t="array" ref="AL42">IFERROR(_xlfn.IFS(AND(C42="IT", H42=5,F42&gt;=90), "IT Star"), "- ")</f>
        <v xml:space="preserve">- </v>
      </c>
      <c r="AM42" s="11" t="str" cm="1">
        <f t="array" ref="AM42">IFERROR(_xlfn.IFS(OR(C42="Finance",C42="HR"),"Administration")," - ")</f>
        <v>Administration</v>
      </c>
      <c r="AN42" s="11" t="str" cm="1">
        <f t="array" ref="AN42">IFERROR(_xlfn.IFS(AND(E42&gt;100000,I42="Yes", H42&gt;=4), " Employee of Month"),"- ")</f>
        <v xml:space="preserve">- </v>
      </c>
    </row>
    <row r="43" spans="1:40" ht="15.6" x14ac:dyDescent="0.3">
      <c r="A43" t="s">
        <v>102</v>
      </c>
      <c r="B43" t="s">
        <v>37</v>
      </c>
      <c r="C43" t="s">
        <v>26</v>
      </c>
      <c r="D43">
        <v>8601</v>
      </c>
      <c r="E43">
        <v>107000</v>
      </c>
      <c r="F43">
        <v>97</v>
      </c>
      <c r="G43">
        <v>11</v>
      </c>
      <c r="H43">
        <v>2</v>
      </c>
      <c r="I43" t="s">
        <v>17</v>
      </c>
      <c r="J43" t="s">
        <v>13</v>
      </c>
      <c r="K43" t="str">
        <f t="shared" si="3"/>
        <v>High</v>
      </c>
      <c r="L43" t="str">
        <f t="shared" si="19"/>
        <v>Excellent</v>
      </c>
      <c r="M43" t="str">
        <f t="shared" si="20"/>
        <v>Working</v>
      </c>
      <c r="N43" t="str">
        <f t="shared" si="21"/>
        <v>Bonus</v>
      </c>
      <c r="O43" t="str">
        <f t="shared" si="4"/>
        <v>Senior</v>
      </c>
      <c r="P43" t="str">
        <f t="shared" si="5"/>
        <v>Normal</v>
      </c>
      <c r="Q43" t="str">
        <f t="shared" si="6"/>
        <v>Not Achieved</v>
      </c>
      <c r="R43" t="str">
        <f t="shared" si="7"/>
        <v>Other Team</v>
      </c>
      <c r="S43" t="str">
        <f t="shared" si="8"/>
        <v>OK</v>
      </c>
      <c r="T43" t="str">
        <f>IF(Employee_Data!F43&lt;85,"Warning","Good")</f>
        <v>Good</v>
      </c>
      <c r="U43" t="str">
        <f t="shared" si="9"/>
        <v>Average</v>
      </c>
      <c r="V43" t="str">
        <f t="shared" si="10"/>
        <v>Excellent</v>
      </c>
      <c r="W43" t="str">
        <f t="shared" si="11"/>
        <v>Needs Improvement</v>
      </c>
      <c r="X43" t="str">
        <f t="shared" si="12"/>
        <v>Exper</v>
      </c>
      <c r="Y43" t="str">
        <f t="shared" si="13"/>
        <v>Gold</v>
      </c>
      <c r="Z43" t="str">
        <f t="shared" si="14"/>
        <v>C</v>
      </c>
      <c r="AA43" t="str">
        <f t="shared" si="15"/>
        <v>Perfect</v>
      </c>
      <c r="AB43" t="str">
        <f t="shared" si="16"/>
        <v>Expert</v>
      </c>
      <c r="AC43" t="str">
        <f t="shared" si="17"/>
        <v>Average</v>
      </c>
      <c r="AD43" t="str">
        <f t="shared" si="18"/>
        <v>Good</v>
      </c>
      <c r="AE43" t="str" cm="1">
        <f t="array" ref="AE43">_xlfn.IFS(AND(D43&gt;9000, F43&gt;95), "Eligible Bonus", TRUE, "Not Eligible")</f>
        <v>Not Eligible</v>
      </c>
      <c r="AF43" s="11" t="str" cm="1">
        <f t="array" ref="AF43">IFERROR(_xlfn.IFS(AND(C43="Sales", E43&gt;120000), "Top Sales"),"- ")</f>
        <v xml:space="preserve">- </v>
      </c>
      <c r="AG43" s="11" t="str" cm="1">
        <f t="array" ref="AG43">IFERROR(_xlfn.IFS(AND(G43&gt;5, H43&gt;=4), "Promotion"),"- ")</f>
        <v xml:space="preserve">- </v>
      </c>
      <c r="AH43" s="11" t="str" cm="1">
        <f t="array" ref="AH43">IFERROR(_xlfn.IFS(OR(D43&gt;7000, F43&gt;85), "Review Required")," - ")</f>
        <v>Review Required</v>
      </c>
      <c r="AI43" s="11" t="str" cm="1">
        <f t="array" ref="AI43">IFERROR(_xlfn.IFS(OR(J43="Inactive", F43&gt;80), "HR Action")," - ")</f>
        <v>HR Action</v>
      </c>
      <c r="AJ43" s="11" t="str" cm="1">
        <f t="array" ref="AJ43">IFERROR(_xlfn.IFS(D43&gt;=12000,"High",D43&gt;=9000,"Medium"),"Low " )</f>
        <v xml:space="preserve">Low </v>
      </c>
      <c r="AK43" t="str" cm="1">
        <f t="array" ref="AK43">IFERROR(_xlfn.IFS(F43&gt;=95,"Excellent",F43&gt;=90,"Good"),"Poor" )</f>
        <v>Excellent</v>
      </c>
      <c r="AL43" s="12" t="str" cm="1">
        <f t="array" ref="AL43">IFERROR(_xlfn.IFS(AND(C43="IT", H43=5,F43&gt;=90), "IT Star"), "- ")</f>
        <v xml:space="preserve">- </v>
      </c>
      <c r="AM43" s="11" t="str" cm="1">
        <f t="array" ref="AM43">IFERROR(_xlfn.IFS(OR(C43="Finance",C43="HR"),"Administration")," - ")</f>
        <v xml:space="preserve"> - </v>
      </c>
      <c r="AN43" s="11" t="str" cm="1">
        <f t="array" ref="AN43">IFERROR(_xlfn.IFS(AND(E43&gt;100000,I43="Yes", H43&gt;=4), " Employee of Month"),"- ")</f>
        <v xml:space="preserve">- </v>
      </c>
    </row>
    <row r="44" spans="1:40" ht="15.6" x14ac:dyDescent="0.3">
      <c r="A44" t="s">
        <v>123</v>
      </c>
      <c r="B44" t="s">
        <v>11</v>
      </c>
      <c r="C44" t="s">
        <v>4</v>
      </c>
      <c r="D44">
        <v>8652</v>
      </c>
      <c r="E44">
        <v>24000</v>
      </c>
      <c r="F44">
        <v>98</v>
      </c>
      <c r="G44">
        <v>5</v>
      </c>
      <c r="H44">
        <v>3</v>
      </c>
      <c r="I44" t="s">
        <v>12</v>
      </c>
      <c r="J44" t="s">
        <v>13</v>
      </c>
      <c r="K44" t="str">
        <f t="shared" si="3"/>
        <v>High</v>
      </c>
      <c r="L44" t="str">
        <f t="shared" si="19"/>
        <v>Excellent</v>
      </c>
      <c r="M44" t="str">
        <f t="shared" si="20"/>
        <v>Working</v>
      </c>
      <c r="N44" t="str">
        <f t="shared" si="21"/>
        <v>No Bonus</v>
      </c>
      <c r="O44" t="str">
        <f t="shared" si="4"/>
        <v>Senior</v>
      </c>
      <c r="P44" t="str">
        <f t="shared" si="5"/>
        <v>Normal</v>
      </c>
      <c r="Q44" t="str">
        <f t="shared" si="6"/>
        <v>Achieved</v>
      </c>
      <c r="R44" t="str">
        <f t="shared" si="7"/>
        <v>Sales Team</v>
      </c>
      <c r="S44" t="str">
        <f t="shared" si="8"/>
        <v>OK</v>
      </c>
      <c r="T44" t="str">
        <f>IF(Employee_Data!F44&lt;85,"Warning","Good")</f>
        <v>Good</v>
      </c>
      <c r="U44" t="str">
        <f t="shared" si="9"/>
        <v>Average</v>
      </c>
      <c r="V44" t="str">
        <f t="shared" si="10"/>
        <v>Excellent</v>
      </c>
      <c r="W44" t="str">
        <f t="shared" si="11"/>
        <v>Good</v>
      </c>
      <c r="X44" t="str">
        <f t="shared" si="12"/>
        <v>Experienced</v>
      </c>
      <c r="Y44" t="str">
        <f t="shared" si="13"/>
        <v>Silver</v>
      </c>
      <c r="Z44" t="str">
        <f t="shared" si="14"/>
        <v>C</v>
      </c>
      <c r="AA44" t="str">
        <f t="shared" si="15"/>
        <v>Perfect</v>
      </c>
      <c r="AB44" t="str">
        <f t="shared" si="16"/>
        <v>Senior</v>
      </c>
      <c r="AC44" t="str">
        <f t="shared" si="17"/>
        <v>Average</v>
      </c>
      <c r="AD44" t="str">
        <f t="shared" si="18"/>
        <v>Low</v>
      </c>
      <c r="AE44" t="str" cm="1">
        <f t="array" ref="AE44">_xlfn.IFS(AND(D44&gt;9000, F44&gt;95), "Eligible Bonus", TRUE, "Not Eligible")</f>
        <v>Not Eligible</v>
      </c>
      <c r="AF44" s="11" t="str" cm="1">
        <f t="array" ref="AF44">IFERROR(_xlfn.IFS(AND(C44="Sales", E44&gt;120000), "Top Sales"),"- ")</f>
        <v xml:space="preserve">- </v>
      </c>
      <c r="AG44" s="11" t="str" cm="1">
        <f t="array" ref="AG44">IFERROR(_xlfn.IFS(AND(G44&gt;5, H44&gt;=4), "Promotion"),"- ")</f>
        <v xml:space="preserve">- </v>
      </c>
      <c r="AH44" s="11" t="str" cm="1">
        <f t="array" ref="AH44">IFERROR(_xlfn.IFS(OR(D44&gt;7000, F44&gt;85), "Review Required")," - ")</f>
        <v>Review Required</v>
      </c>
      <c r="AI44" s="11" t="str" cm="1">
        <f t="array" ref="AI44">IFERROR(_xlfn.IFS(OR(J44="Inactive", F44&gt;80), "HR Action")," - ")</f>
        <v>HR Action</v>
      </c>
      <c r="AJ44" s="11" t="str" cm="1">
        <f t="array" ref="AJ44">IFERROR(_xlfn.IFS(D44&gt;=12000,"High",D44&gt;=9000,"Medium"),"Low " )</f>
        <v xml:space="preserve">Low </v>
      </c>
      <c r="AK44" t="str" cm="1">
        <f t="array" ref="AK44">IFERROR(_xlfn.IFS(F44&gt;=95,"Excellent",F44&gt;=90,"Good"),"Poor" )</f>
        <v>Excellent</v>
      </c>
      <c r="AL44" s="12" t="str" cm="1">
        <f t="array" ref="AL44">IFERROR(_xlfn.IFS(AND(C44="IT", H44=5,F44&gt;=90), "IT Star"), "- ")</f>
        <v xml:space="preserve">- </v>
      </c>
      <c r="AM44" s="11" t="str" cm="1">
        <f t="array" ref="AM44">IFERROR(_xlfn.IFS(OR(C44="Finance",C44="HR"),"Administration")," - ")</f>
        <v xml:space="preserve"> - </v>
      </c>
      <c r="AN44" s="11" t="str" cm="1">
        <f t="array" ref="AN44">IFERROR(_xlfn.IFS(AND(E44&gt;100000,I44="Yes", H44&gt;=4), " Employee of Month"),"- ")</f>
        <v xml:space="preserve">- </v>
      </c>
    </row>
    <row r="45" spans="1:40" ht="15.6" x14ac:dyDescent="0.3">
      <c r="A45" t="s">
        <v>32</v>
      </c>
      <c r="B45" t="s">
        <v>33</v>
      </c>
      <c r="C45" t="s">
        <v>20</v>
      </c>
      <c r="D45">
        <v>8879</v>
      </c>
      <c r="E45">
        <v>153000</v>
      </c>
      <c r="F45">
        <v>97</v>
      </c>
      <c r="G45">
        <v>7</v>
      </c>
      <c r="H45">
        <v>5</v>
      </c>
      <c r="I45" t="s">
        <v>17</v>
      </c>
      <c r="J45" t="s">
        <v>13</v>
      </c>
      <c r="K45" t="str">
        <f t="shared" si="3"/>
        <v>High</v>
      </c>
      <c r="L45" t="str">
        <f t="shared" si="19"/>
        <v>Excellent</v>
      </c>
      <c r="M45" t="str">
        <f t="shared" si="20"/>
        <v>Working</v>
      </c>
      <c r="N45" t="str">
        <f t="shared" si="21"/>
        <v>Bonus</v>
      </c>
      <c r="O45" t="str">
        <f t="shared" si="4"/>
        <v>Senior</v>
      </c>
      <c r="P45" t="str">
        <f t="shared" si="5"/>
        <v>Outstanding</v>
      </c>
      <c r="Q45" t="str">
        <f t="shared" si="6"/>
        <v>Not Achieved</v>
      </c>
      <c r="R45" t="str">
        <f t="shared" si="7"/>
        <v>Other Team</v>
      </c>
      <c r="S45" t="str">
        <f t="shared" si="8"/>
        <v>OK</v>
      </c>
      <c r="T45" t="str">
        <f>IF(Employee_Data!F45&lt;85,"Warning","Good")</f>
        <v>Good</v>
      </c>
      <c r="U45" t="str">
        <f t="shared" si="9"/>
        <v>Average</v>
      </c>
      <c r="V45" t="str">
        <f t="shared" si="10"/>
        <v>Excellent</v>
      </c>
      <c r="W45" t="str">
        <f t="shared" si="11"/>
        <v>Outstanding</v>
      </c>
      <c r="X45" t="str">
        <f t="shared" si="12"/>
        <v>Experienced</v>
      </c>
      <c r="Y45" t="str">
        <f t="shared" si="13"/>
        <v>Platinum</v>
      </c>
      <c r="Z45" t="str">
        <f t="shared" si="14"/>
        <v>C</v>
      </c>
      <c r="AA45" t="str">
        <f t="shared" si="15"/>
        <v>Perfect</v>
      </c>
      <c r="AB45" t="str">
        <f t="shared" si="16"/>
        <v>Senior</v>
      </c>
      <c r="AC45" t="str">
        <f t="shared" si="17"/>
        <v>Excellent</v>
      </c>
      <c r="AD45" t="str">
        <f t="shared" si="18"/>
        <v>Best</v>
      </c>
      <c r="AE45" t="str" cm="1">
        <f t="array" ref="AE45">_xlfn.IFS(AND(D45&gt;9000, F45&gt;95), "Eligible Bonus", TRUE, "Not Eligible")</f>
        <v>Not Eligible</v>
      </c>
      <c r="AF45" s="11" t="str" cm="1">
        <f t="array" ref="AF45">IFERROR(_xlfn.IFS(AND(C45="Sales", E45&gt;120000), "Top Sales"),"- ")</f>
        <v xml:space="preserve">- </v>
      </c>
      <c r="AG45" s="11" t="str" cm="1">
        <f t="array" ref="AG45">IFERROR(_xlfn.IFS(AND(G45&gt;5, H45&gt;=4), "Promotion"),"- ")</f>
        <v>Promotion</v>
      </c>
      <c r="AH45" s="11" t="str" cm="1">
        <f t="array" ref="AH45">IFERROR(_xlfn.IFS(OR(D45&gt;7000, F45&gt;85), "Review Required")," - ")</f>
        <v>Review Required</v>
      </c>
      <c r="AI45" s="11" t="str" cm="1">
        <f t="array" ref="AI45">IFERROR(_xlfn.IFS(OR(J45="Inactive", F45&gt;80), "HR Action")," - ")</f>
        <v>HR Action</v>
      </c>
      <c r="AJ45" s="11" t="str" cm="1">
        <f t="array" ref="AJ45">IFERROR(_xlfn.IFS(D45&gt;=12000,"High",D45&gt;=9000,"Medium"),"Low " )</f>
        <v xml:space="preserve">Low </v>
      </c>
      <c r="AK45" t="str" cm="1">
        <f t="array" ref="AK45">IFERROR(_xlfn.IFS(F45&gt;=95,"Excellent",F45&gt;=90,"Good"),"Poor" )</f>
        <v>Excellent</v>
      </c>
      <c r="AL45" s="12" t="str" cm="1">
        <f t="array" ref="AL45">IFERROR(_xlfn.IFS(AND(C45="IT", H45=5,F45&gt;=90), "IT Star"), "- ")</f>
        <v>IT Star</v>
      </c>
      <c r="AM45" s="11" t="str" cm="1">
        <f t="array" ref="AM45">IFERROR(_xlfn.IFS(OR(C45="Finance",C45="HR"),"Administration")," - ")</f>
        <v xml:space="preserve"> - </v>
      </c>
      <c r="AN45" s="11" t="str" cm="1">
        <f t="array" ref="AN45">IFERROR(_xlfn.IFS(AND(E45&gt;100000,I45="Yes", H45&gt;=4), " Employee of Month"),"- ")</f>
        <v xml:space="preserve">- </v>
      </c>
    </row>
    <row r="46" spans="1:40" ht="15.6" x14ac:dyDescent="0.3">
      <c r="A46" t="s">
        <v>61</v>
      </c>
      <c r="B46" t="s">
        <v>45</v>
      </c>
      <c r="C46" t="s">
        <v>23</v>
      </c>
      <c r="D46">
        <v>8930</v>
      </c>
      <c r="E46">
        <v>70000</v>
      </c>
      <c r="F46">
        <v>98</v>
      </c>
      <c r="G46">
        <v>1</v>
      </c>
      <c r="H46">
        <v>1</v>
      </c>
      <c r="I46" t="s">
        <v>12</v>
      </c>
      <c r="J46" t="s">
        <v>13</v>
      </c>
      <c r="K46" t="str">
        <f t="shared" si="3"/>
        <v>High</v>
      </c>
      <c r="L46" t="str">
        <f t="shared" si="19"/>
        <v>Excellent</v>
      </c>
      <c r="M46" t="str">
        <f t="shared" si="20"/>
        <v>Working</v>
      </c>
      <c r="N46" t="str">
        <f t="shared" si="21"/>
        <v>No Bonus</v>
      </c>
      <c r="O46" t="str">
        <f t="shared" si="4"/>
        <v>Junior</v>
      </c>
      <c r="P46" t="str">
        <f t="shared" si="5"/>
        <v>Normal</v>
      </c>
      <c r="Q46" t="str">
        <f t="shared" si="6"/>
        <v>Achieved</v>
      </c>
      <c r="R46" t="str">
        <f t="shared" si="7"/>
        <v>Other Team</v>
      </c>
      <c r="S46" t="str">
        <f t="shared" si="8"/>
        <v>OK</v>
      </c>
      <c r="T46" t="str">
        <f>IF(Employee_Data!F46&lt;85,"Warning","Good")</f>
        <v>Good</v>
      </c>
      <c r="U46" t="str">
        <f t="shared" si="9"/>
        <v>Average</v>
      </c>
      <c r="V46" t="str">
        <f t="shared" si="10"/>
        <v>Excellent</v>
      </c>
      <c r="W46" t="str">
        <f t="shared" si="11"/>
        <v>Needs Improvement</v>
      </c>
      <c r="X46" t="str">
        <f t="shared" si="12"/>
        <v>Beginner</v>
      </c>
      <c r="Y46" t="str">
        <f t="shared" si="13"/>
        <v>Silver</v>
      </c>
      <c r="Z46" t="str">
        <f t="shared" si="14"/>
        <v>C</v>
      </c>
      <c r="AA46" t="str">
        <f t="shared" si="15"/>
        <v>Perfect</v>
      </c>
      <c r="AB46" t="str">
        <f t="shared" si="16"/>
        <v>Junior</v>
      </c>
      <c r="AC46" t="str">
        <f t="shared" si="17"/>
        <v>Poor</v>
      </c>
      <c r="AD46" t="str">
        <f t="shared" si="18"/>
        <v>Low</v>
      </c>
      <c r="AE46" t="str" cm="1">
        <f t="array" ref="AE46">_xlfn.IFS(AND(D46&gt;9000, F46&gt;95), "Eligible Bonus", TRUE, "Not Eligible")</f>
        <v>Not Eligible</v>
      </c>
      <c r="AF46" s="11" t="str" cm="1">
        <f t="array" ref="AF46">IFERROR(_xlfn.IFS(AND(C46="Sales", E46&gt;120000), "Top Sales"),"- ")</f>
        <v xml:space="preserve">- </v>
      </c>
      <c r="AG46" s="11" t="str" cm="1">
        <f t="array" ref="AG46">IFERROR(_xlfn.IFS(AND(G46&gt;5, H46&gt;=4), "Promotion"),"- ")</f>
        <v xml:space="preserve">- </v>
      </c>
      <c r="AH46" s="11" t="str" cm="1">
        <f t="array" ref="AH46">IFERROR(_xlfn.IFS(OR(D46&gt;7000, F46&gt;85), "Review Required")," - ")</f>
        <v>Review Required</v>
      </c>
      <c r="AI46" s="11" t="str" cm="1">
        <f t="array" ref="AI46">IFERROR(_xlfn.IFS(OR(J46="Inactive", F46&gt;80), "HR Action")," - ")</f>
        <v>HR Action</v>
      </c>
      <c r="AJ46" s="11" t="str" cm="1">
        <f t="array" ref="AJ46">IFERROR(_xlfn.IFS(D46&gt;=12000,"High",D46&gt;=9000,"Medium"),"Low " )</f>
        <v xml:space="preserve">Low </v>
      </c>
      <c r="AK46" t="str" cm="1">
        <f t="array" ref="AK46">IFERROR(_xlfn.IFS(F46&gt;=95,"Excellent",F46&gt;=90,"Good"),"Poor" )</f>
        <v>Excellent</v>
      </c>
      <c r="AL46" s="12" t="str" cm="1">
        <f t="array" ref="AL46">IFERROR(_xlfn.IFS(AND(C46="IT", H46=5,F46&gt;=90), "IT Star"), "- ")</f>
        <v xml:space="preserve">- </v>
      </c>
      <c r="AM46" s="11" t="str" cm="1">
        <f t="array" ref="AM46">IFERROR(_xlfn.IFS(OR(C46="Finance",C46="HR"),"Administration")," - ")</f>
        <v>Administration</v>
      </c>
      <c r="AN46" s="11" t="str" cm="1">
        <f t="array" ref="AN46">IFERROR(_xlfn.IFS(AND(E46&gt;100000,I46="Yes", H46&gt;=4), " Employee of Month"),"- ")</f>
        <v xml:space="preserve">- </v>
      </c>
    </row>
    <row r="47" spans="1:40" ht="15.6" x14ac:dyDescent="0.3">
      <c r="A47" t="s">
        <v>82</v>
      </c>
      <c r="B47" t="s">
        <v>25</v>
      </c>
      <c r="C47" t="s">
        <v>26</v>
      </c>
      <c r="D47">
        <v>8981</v>
      </c>
      <c r="E47">
        <v>207000</v>
      </c>
      <c r="F47">
        <v>99</v>
      </c>
      <c r="G47">
        <v>7</v>
      </c>
      <c r="H47">
        <v>2</v>
      </c>
      <c r="I47" t="s">
        <v>17</v>
      </c>
      <c r="J47" t="s">
        <v>13</v>
      </c>
      <c r="K47" t="str">
        <f t="shared" si="3"/>
        <v>High</v>
      </c>
      <c r="L47" t="str">
        <f t="shared" si="19"/>
        <v>Excellent</v>
      </c>
      <c r="M47" t="str">
        <f t="shared" si="20"/>
        <v>Working</v>
      </c>
      <c r="N47" t="str">
        <f t="shared" si="21"/>
        <v>Bonus</v>
      </c>
      <c r="O47" t="str">
        <f t="shared" si="4"/>
        <v>Senior</v>
      </c>
      <c r="P47" t="str">
        <f t="shared" si="5"/>
        <v>Normal</v>
      </c>
      <c r="Q47" t="str">
        <f t="shared" si="6"/>
        <v>Not Achieved</v>
      </c>
      <c r="R47" t="str">
        <f t="shared" si="7"/>
        <v>Other Team</v>
      </c>
      <c r="S47" t="str">
        <f t="shared" si="8"/>
        <v>OK</v>
      </c>
      <c r="T47" t="str">
        <f>IF(Employee_Data!F47&lt;85,"Warning","Good")</f>
        <v>Good</v>
      </c>
      <c r="U47" t="str">
        <f t="shared" si="9"/>
        <v>Average</v>
      </c>
      <c r="V47" t="str">
        <f t="shared" si="10"/>
        <v>Excellent</v>
      </c>
      <c r="W47" t="str">
        <f t="shared" si="11"/>
        <v>Needs Improvement</v>
      </c>
      <c r="X47" t="str">
        <f t="shared" si="12"/>
        <v>Experienced</v>
      </c>
      <c r="Y47" t="str">
        <f t="shared" si="13"/>
        <v>Platinum</v>
      </c>
      <c r="Z47" t="str">
        <f t="shared" si="14"/>
        <v>C</v>
      </c>
      <c r="AA47" t="str">
        <f t="shared" si="15"/>
        <v>Perfect</v>
      </c>
      <c r="AB47" t="str">
        <f t="shared" si="16"/>
        <v>Senior</v>
      </c>
      <c r="AC47" t="str">
        <f t="shared" si="17"/>
        <v>Average</v>
      </c>
      <c r="AD47" t="str">
        <f t="shared" si="18"/>
        <v>Top</v>
      </c>
      <c r="AE47" t="str" cm="1">
        <f t="array" ref="AE47">_xlfn.IFS(AND(D47&gt;9000, F47&gt;95), "Eligible Bonus", TRUE, "Not Eligible")</f>
        <v>Not Eligible</v>
      </c>
      <c r="AF47" s="11" t="str" cm="1">
        <f t="array" ref="AF47">IFERROR(_xlfn.IFS(AND(C47="Sales", E47&gt;120000), "Top Sales"),"- ")</f>
        <v xml:space="preserve">- </v>
      </c>
      <c r="AG47" s="11" t="str" cm="1">
        <f t="array" ref="AG47">IFERROR(_xlfn.IFS(AND(G47&gt;5, H47&gt;=4), "Promotion"),"- ")</f>
        <v xml:space="preserve">- </v>
      </c>
      <c r="AH47" s="11" t="str" cm="1">
        <f t="array" ref="AH47">IFERROR(_xlfn.IFS(OR(D47&gt;7000, F47&gt;85), "Review Required")," - ")</f>
        <v>Review Required</v>
      </c>
      <c r="AI47" s="11" t="str" cm="1">
        <f t="array" ref="AI47">IFERROR(_xlfn.IFS(OR(J47="Inactive", F47&gt;80), "HR Action")," - ")</f>
        <v>HR Action</v>
      </c>
      <c r="AJ47" s="11" t="str" cm="1">
        <f t="array" ref="AJ47">IFERROR(_xlfn.IFS(D47&gt;=12000,"High",D47&gt;=9000,"Medium"),"Low " )</f>
        <v xml:space="preserve">Low </v>
      </c>
      <c r="AK47" t="str" cm="1">
        <f t="array" ref="AK47">IFERROR(_xlfn.IFS(F47&gt;=95,"Excellent",F47&gt;=90,"Good"),"Poor" )</f>
        <v>Excellent</v>
      </c>
      <c r="AL47" s="12" t="str" cm="1">
        <f t="array" ref="AL47">IFERROR(_xlfn.IFS(AND(C47="IT", H47=5,F47&gt;=90), "IT Star"), "- ")</f>
        <v xml:space="preserve">- </v>
      </c>
      <c r="AM47" s="11" t="str" cm="1">
        <f t="array" ref="AM47">IFERROR(_xlfn.IFS(OR(C47="Finance",C47="HR"),"Administration")," - ")</f>
        <v xml:space="preserve"> - </v>
      </c>
      <c r="AN47" s="11" t="str" cm="1">
        <f t="array" ref="AN47">IFERROR(_xlfn.IFS(AND(E47&gt;100000,I47="Yes", H47&gt;=4), " Employee of Month"),"- ")</f>
        <v xml:space="preserve">- </v>
      </c>
    </row>
    <row r="48" spans="1:40" ht="15.6" x14ac:dyDescent="0.3">
      <c r="A48" t="s">
        <v>103</v>
      </c>
      <c r="B48" t="s">
        <v>39</v>
      </c>
      <c r="C48" t="s">
        <v>4</v>
      </c>
      <c r="D48">
        <v>9032</v>
      </c>
      <c r="E48">
        <v>124000</v>
      </c>
      <c r="F48">
        <v>100</v>
      </c>
      <c r="G48">
        <v>1</v>
      </c>
      <c r="H48">
        <v>3</v>
      </c>
      <c r="I48" t="s">
        <v>12</v>
      </c>
      <c r="J48" t="s">
        <v>13</v>
      </c>
      <c r="K48" t="str">
        <f t="shared" si="3"/>
        <v>High</v>
      </c>
      <c r="L48" t="str">
        <f t="shared" si="19"/>
        <v>Excellent</v>
      </c>
      <c r="M48" t="str">
        <f t="shared" si="20"/>
        <v>Working</v>
      </c>
      <c r="N48" t="str">
        <f t="shared" si="21"/>
        <v>Bonus</v>
      </c>
      <c r="O48" t="str">
        <f t="shared" si="4"/>
        <v>Junior</v>
      </c>
      <c r="P48" t="str">
        <f t="shared" si="5"/>
        <v>Normal</v>
      </c>
      <c r="Q48" t="str">
        <f t="shared" si="6"/>
        <v>Achieved</v>
      </c>
      <c r="R48" t="str">
        <f t="shared" si="7"/>
        <v>Sales Team</v>
      </c>
      <c r="S48" t="str">
        <f t="shared" si="8"/>
        <v>OK</v>
      </c>
      <c r="T48" t="str">
        <f>IF(Employee_Data!F48&lt;85,"Warning","Good")</f>
        <v>Good</v>
      </c>
      <c r="U48" t="str">
        <f t="shared" si="9"/>
        <v>Good</v>
      </c>
      <c r="V48" t="str">
        <f t="shared" si="10"/>
        <v>Excellent</v>
      </c>
      <c r="W48" t="str">
        <f t="shared" si="11"/>
        <v>Good</v>
      </c>
      <c r="X48" t="str">
        <f t="shared" si="12"/>
        <v>Beginner</v>
      </c>
      <c r="Y48" t="str">
        <f t="shared" si="13"/>
        <v>Gold</v>
      </c>
      <c r="Z48" t="str">
        <f t="shared" si="14"/>
        <v>C</v>
      </c>
      <c r="AA48" t="str">
        <f t="shared" si="15"/>
        <v>Perfect</v>
      </c>
      <c r="AB48" t="str">
        <f t="shared" si="16"/>
        <v>Junior</v>
      </c>
      <c r="AC48" t="str">
        <f t="shared" si="17"/>
        <v>Average</v>
      </c>
      <c r="AD48" t="str">
        <f t="shared" si="18"/>
        <v>Best</v>
      </c>
      <c r="AE48" t="str" cm="1">
        <f t="array" ref="AE48">_xlfn.IFS(AND(D48&gt;9000, F48&gt;95), "Eligible Bonus", TRUE, "Not Eligible")</f>
        <v>Eligible Bonus</v>
      </c>
      <c r="AF48" s="11" t="str" cm="1">
        <f t="array" ref="AF48">IFERROR(_xlfn.IFS(AND(C48="Sales", E48&gt;120000), "Top Sales"),"- ")</f>
        <v>Top Sales</v>
      </c>
      <c r="AG48" s="11" t="str" cm="1">
        <f t="array" ref="AG48">IFERROR(_xlfn.IFS(AND(G48&gt;5, H48&gt;=4), "Promotion"),"- ")</f>
        <v xml:space="preserve">- </v>
      </c>
      <c r="AH48" s="11" t="str" cm="1">
        <f t="array" ref="AH48">IFERROR(_xlfn.IFS(OR(D48&gt;7000, F48&gt;85), "Review Required")," - ")</f>
        <v>Review Required</v>
      </c>
      <c r="AI48" s="11" t="str" cm="1">
        <f t="array" ref="AI48">IFERROR(_xlfn.IFS(OR(J48="Inactive", F48&gt;80), "HR Action")," - ")</f>
        <v>HR Action</v>
      </c>
      <c r="AJ48" s="11" t="str" cm="1">
        <f t="array" ref="AJ48">IFERROR(_xlfn.IFS(D48&gt;=12000,"High",D48&gt;=9000,"Medium"),"Low " )</f>
        <v>Medium</v>
      </c>
      <c r="AK48" t="str" cm="1">
        <f t="array" ref="AK48">IFERROR(_xlfn.IFS(F48&gt;=95,"Excellent",F48&gt;=90,"Good"),"Poor" )</f>
        <v>Excellent</v>
      </c>
      <c r="AL48" s="12" t="str" cm="1">
        <f t="array" ref="AL48">IFERROR(_xlfn.IFS(AND(C48="IT", H48=5,F48&gt;=90), "IT Star"), "- ")</f>
        <v xml:space="preserve">- </v>
      </c>
      <c r="AM48" s="11" t="str" cm="1">
        <f t="array" ref="AM48">IFERROR(_xlfn.IFS(OR(C48="Finance",C48="HR"),"Administration")," - ")</f>
        <v xml:space="preserve"> - </v>
      </c>
      <c r="AN48" s="11" t="str" cm="1">
        <f t="array" ref="AN48">IFERROR(_xlfn.IFS(AND(E48&gt;100000,I48="Yes", H48&gt;=4), " Employee of Month"),"- ")</f>
        <v xml:space="preserve">- </v>
      </c>
    </row>
    <row r="49" spans="1:40" ht="15.6" x14ac:dyDescent="0.3">
      <c r="A49" t="s">
        <v>124</v>
      </c>
      <c r="B49" t="s">
        <v>15</v>
      </c>
      <c r="C49" t="s">
        <v>16</v>
      </c>
      <c r="D49">
        <v>9083</v>
      </c>
      <c r="E49">
        <v>41000</v>
      </c>
      <c r="F49">
        <v>70</v>
      </c>
      <c r="G49">
        <v>7</v>
      </c>
      <c r="H49">
        <v>4</v>
      </c>
      <c r="I49" t="s">
        <v>17</v>
      </c>
      <c r="J49" t="s">
        <v>13</v>
      </c>
      <c r="K49" t="str">
        <f t="shared" si="3"/>
        <v>High</v>
      </c>
      <c r="L49" t="str">
        <f t="shared" si="19"/>
        <v>Needs Improvement</v>
      </c>
      <c r="M49" t="str">
        <f t="shared" si="20"/>
        <v>Working</v>
      </c>
      <c r="N49" t="str">
        <f t="shared" si="21"/>
        <v>No Bonus</v>
      </c>
      <c r="O49" t="str">
        <f t="shared" si="4"/>
        <v>Senior</v>
      </c>
      <c r="P49" t="str">
        <f t="shared" si="5"/>
        <v>Normal</v>
      </c>
      <c r="Q49" t="str">
        <f t="shared" si="6"/>
        <v>Not Achieved</v>
      </c>
      <c r="R49" t="str">
        <f t="shared" si="7"/>
        <v>Other Team</v>
      </c>
      <c r="S49" t="str">
        <f t="shared" si="8"/>
        <v>OK</v>
      </c>
      <c r="T49" t="str">
        <f>IF(Employee_Data!F49&lt;85,"Warning","Good")</f>
        <v>Warning</v>
      </c>
      <c r="U49" t="str">
        <f t="shared" si="9"/>
        <v>Good</v>
      </c>
      <c r="V49" t="str">
        <f t="shared" si="10"/>
        <v>Poor</v>
      </c>
      <c r="W49" t="str">
        <f t="shared" si="11"/>
        <v>Very Good</v>
      </c>
      <c r="X49" t="str">
        <f t="shared" si="12"/>
        <v>Experienced</v>
      </c>
      <c r="Y49" t="str">
        <f t="shared" si="13"/>
        <v>Silver</v>
      </c>
      <c r="Z49" t="str">
        <f t="shared" si="14"/>
        <v>C</v>
      </c>
      <c r="AA49" t="str">
        <f t="shared" si="15"/>
        <v>Poor</v>
      </c>
      <c r="AB49" t="str">
        <f t="shared" si="16"/>
        <v>Senior</v>
      </c>
      <c r="AC49" t="str">
        <f t="shared" si="17"/>
        <v>Good</v>
      </c>
      <c r="AD49" t="str">
        <f t="shared" si="18"/>
        <v>Low</v>
      </c>
      <c r="AE49" t="str" cm="1">
        <f t="array" ref="AE49">_xlfn.IFS(AND(D49&gt;9000, F49&gt;95), "Eligible Bonus", TRUE, "Not Eligible")</f>
        <v>Not Eligible</v>
      </c>
      <c r="AF49" s="11" t="str" cm="1">
        <f t="array" ref="AF49">IFERROR(_xlfn.IFS(AND(C49="Sales", E49&gt;120000), "Top Sales"),"- ")</f>
        <v xml:space="preserve">- </v>
      </c>
      <c r="AG49" s="11" t="str" cm="1">
        <f t="array" ref="AG49">IFERROR(_xlfn.IFS(AND(G49&gt;5, H49&gt;=4), "Promotion"),"- ")</f>
        <v>Promotion</v>
      </c>
      <c r="AH49" s="11" t="str" cm="1">
        <f t="array" ref="AH49">IFERROR(_xlfn.IFS(OR(D49&gt;7000, F49&gt;85), "Review Required")," - ")</f>
        <v>Review Required</v>
      </c>
      <c r="AI49" s="11" t="str" cm="1">
        <f t="array" ref="AI49">IFERROR(_xlfn.IFS(OR(J49="Inactive", F49&gt;80), "HR Action")," - ")</f>
        <v xml:space="preserve"> - </v>
      </c>
      <c r="AJ49" s="11" t="str" cm="1">
        <f t="array" ref="AJ49">IFERROR(_xlfn.IFS(D49&gt;=12000,"High",D49&gt;=9000,"Medium"),"Low " )</f>
        <v>Medium</v>
      </c>
      <c r="AK49" t="str" cm="1">
        <f t="array" ref="AK49">IFERROR(_xlfn.IFS(F49&gt;=95,"Excellent",F49&gt;=90,"Good"),"Poor" )</f>
        <v>Poor</v>
      </c>
      <c r="AL49" s="12" t="str" cm="1">
        <f t="array" ref="AL49">IFERROR(_xlfn.IFS(AND(C49="IT", H49=5,F49&gt;=90), "IT Star"), "- ")</f>
        <v xml:space="preserve">- </v>
      </c>
      <c r="AM49" s="11" t="str" cm="1">
        <f t="array" ref="AM49">IFERROR(_xlfn.IFS(OR(C49="Finance",C49="HR"),"Administration")," - ")</f>
        <v>Administration</v>
      </c>
      <c r="AN49" s="11" t="str" cm="1">
        <f t="array" ref="AN49">IFERROR(_xlfn.IFS(AND(E49&gt;100000,I49="Yes", H49&gt;=4), " Employee of Month"),"- ")</f>
        <v xml:space="preserve">- </v>
      </c>
    </row>
    <row r="50" spans="1:40" ht="15.6" x14ac:dyDescent="0.3">
      <c r="A50" t="s">
        <v>34</v>
      </c>
      <c r="B50" t="s">
        <v>35</v>
      </c>
      <c r="C50" t="s">
        <v>23</v>
      </c>
      <c r="D50">
        <v>9310</v>
      </c>
      <c r="E50">
        <v>170000</v>
      </c>
      <c r="F50">
        <v>100</v>
      </c>
      <c r="G50">
        <v>9</v>
      </c>
      <c r="H50">
        <v>1</v>
      </c>
      <c r="I50" t="s">
        <v>12</v>
      </c>
      <c r="J50" t="s">
        <v>13</v>
      </c>
      <c r="K50" t="str">
        <f t="shared" si="3"/>
        <v>High</v>
      </c>
      <c r="L50" t="str">
        <f t="shared" si="19"/>
        <v>Excellent</v>
      </c>
      <c r="M50" t="str">
        <f t="shared" si="20"/>
        <v>Working</v>
      </c>
      <c r="N50" t="str">
        <f t="shared" si="21"/>
        <v>Bonus</v>
      </c>
      <c r="O50" t="str">
        <f t="shared" si="4"/>
        <v>Senior</v>
      </c>
      <c r="P50" t="str">
        <f t="shared" si="5"/>
        <v>Normal</v>
      </c>
      <c r="Q50" t="str">
        <f t="shared" si="6"/>
        <v>Achieved</v>
      </c>
      <c r="R50" t="str">
        <f t="shared" si="7"/>
        <v>Other Team</v>
      </c>
      <c r="S50" t="str">
        <f t="shared" si="8"/>
        <v>OK</v>
      </c>
      <c r="T50" t="str">
        <f>IF(Employee_Data!F50&lt;85,"Warning","Good")</f>
        <v>Good</v>
      </c>
      <c r="U50" t="str">
        <f t="shared" si="9"/>
        <v>Good</v>
      </c>
      <c r="V50" t="str">
        <f t="shared" si="10"/>
        <v>Excellent</v>
      </c>
      <c r="W50" t="str">
        <f t="shared" si="11"/>
        <v>Needs Improvement</v>
      </c>
      <c r="X50" t="str">
        <f t="shared" si="12"/>
        <v>Experienced</v>
      </c>
      <c r="Y50" t="str">
        <f t="shared" si="13"/>
        <v>Platinum</v>
      </c>
      <c r="Z50" t="str">
        <f t="shared" si="14"/>
        <v>C</v>
      </c>
      <c r="AA50" t="str">
        <f t="shared" si="15"/>
        <v>Perfect</v>
      </c>
      <c r="AB50" t="str">
        <f t="shared" si="16"/>
        <v>Expert</v>
      </c>
      <c r="AC50" t="str">
        <f t="shared" si="17"/>
        <v>Poor</v>
      </c>
      <c r="AD50" t="str">
        <f t="shared" si="18"/>
        <v>Best</v>
      </c>
      <c r="AE50" t="str" cm="1">
        <f t="array" ref="AE50">_xlfn.IFS(AND(D50&gt;9000, F50&gt;95), "Eligible Bonus", TRUE, "Not Eligible")</f>
        <v>Eligible Bonus</v>
      </c>
      <c r="AF50" s="11" t="str" cm="1">
        <f t="array" ref="AF50">IFERROR(_xlfn.IFS(AND(C50="Sales", E50&gt;120000), "Top Sales"),"- ")</f>
        <v xml:space="preserve">- </v>
      </c>
      <c r="AG50" s="11" t="str" cm="1">
        <f t="array" ref="AG50">IFERROR(_xlfn.IFS(AND(G50&gt;5, H50&gt;=4), "Promotion"),"- ")</f>
        <v xml:space="preserve">- </v>
      </c>
      <c r="AH50" s="11" t="str" cm="1">
        <f t="array" ref="AH50">IFERROR(_xlfn.IFS(OR(D50&gt;7000, F50&gt;85), "Review Required")," - ")</f>
        <v>Review Required</v>
      </c>
      <c r="AI50" s="11" t="str" cm="1">
        <f t="array" ref="AI50">IFERROR(_xlfn.IFS(OR(J50="Inactive", F50&gt;80), "HR Action")," - ")</f>
        <v>HR Action</v>
      </c>
      <c r="AJ50" s="11" t="str" cm="1">
        <f t="array" ref="AJ50">IFERROR(_xlfn.IFS(D50&gt;=12000,"High",D50&gt;=9000,"Medium"),"Low " )</f>
        <v>Medium</v>
      </c>
      <c r="AK50" t="str" cm="1">
        <f t="array" ref="AK50">IFERROR(_xlfn.IFS(F50&gt;=95,"Excellent",F50&gt;=90,"Good"),"Poor" )</f>
        <v>Excellent</v>
      </c>
      <c r="AL50" s="12" t="str" cm="1">
        <f t="array" ref="AL50">IFERROR(_xlfn.IFS(AND(C50="IT", H50=5,F50&gt;=90), "IT Star"), "- ")</f>
        <v xml:space="preserve">- </v>
      </c>
      <c r="AM50" s="11" t="str" cm="1">
        <f t="array" ref="AM50">IFERROR(_xlfn.IFS(OR(C50="Finance",C50="HR"),"Administration")," - ")</f>
        <v>Administration</v>
      </c>
      <c r="AN50" s="11" t="str" cm="1">
        <f t="array" ref="AN50">IFERROR(_xlfn.IFS(AND(E50&gt;100000,I50="Yes", H50&gt;=4), " Employee of Month"),"- ")</f>
        <v xml:space="preserve">- </v>
      </c>
    </row>
    <row r="51" spans="1:40" ht="15.6" x14ac:dyDescent="0.3">
      <c r="A51" t="s">
        <v>62</v>
      </c>
      <c r="B51" t="s">
        <v>47</v>
      </c>
      <c r="C51" t="s">
        <v>26</v>
      </c>
      <c r="D51">
        <v>9361</v>
      </c>
      <c r="E51">
        <v>87000</v>
      </c>
      <c r="F51">
        <v>70</v>
      </c>
      <c r="G51">
        <v>3</v>
      </c>
      <c r="H51">
        <v>2</v>
      </c>
      <c r="I51" t="s">
        <v>17</v>
      </c>
      <c r="J51" t="s">
        <v>13</v>
      </c>
      <c r="K51" t="str">
        <f t="shared" si="3"/>
        <v>High</v>
      </c>
      <c r="L51" t="str">
        <f t="shared" si="19"/>
        <v>Needs Improvement</v>
      </c>
      <c r="M51" t="str">
        <f t="shared" si="20"/>
        <v>Working</v>
      </c>
      <c r="N51" t="str">
        <f t="shared" si="21"/>
        <v>No Bonus</v>
      </c>
      <c r="O51" t="str">
        <f t="shared" si="4"/>
        <v>Junior</v>
      </c>
      <c r="P51" t="str">
        <f t="shared" si="5"/>
        <v>Normal</v>
      </c>
      <c r="Q51" t="str">
        <f t="shared" si="6"/>
        <v>Not Achieved</v>
      </c>
      <c r="R51" t="str">
        <f t="shared" si="7"/>
        <v>Other Team</v>
      </c>
      <c r="S51" t="str">
        <f t="shared" si="8"/>
        <v>OK</v>
      </c>
      <c r="T51" t="str">
        <f>IF(Employee_Data!F51&lt;85,"Warning","Good")</f>
        <v>Warning</v>
      </c>
      <c r="U51" t="str">
        <f t="shared" si="9"/>
        <v>Good</v>
      </c>
      <c r="V51" t="str">
        <f t="shared" si="10"/>
        <v>Poor</v>
      </c>
      <c r="W51" t="str">
        <f t="shared" si="11"/>
        <v>Needs Improvement</v>
      </c>
      <c r="X51" t="str">
        <f t="shared" si="12"/>
        <v>Beginner</v>
      </c>
      <c r="Y51" t="str">
        <f t="shared" si="13"/>
        <v>Silver</v>
      </c>
      <c r="Z51" t="str">
        <f t="shared" si="14"/>
        <v>C</v>
      </c>
      <c r="AA51" t="str">
        <f t="shared" si="15"/>
        <v>Poor</v>
      </c>
      <c r="AB51" t="str">
        <f t="shared" si="16"/>
        <v>Mid</v>
      </c>
      <c r="AC51" t="str">
        <f t="shared" si="17"/>
        <v>Average</v>
      </c>
      <c r="AD51" t="str">
        <f t="shared" si="18"/>
        <v>Good</v>
      </c>
      <c r="AE51" t="str" cm="1">
        <f t="array" ref="AE51">_xlfn.IFS(AND(D51&gt;9000, F51&gt;95), "Eligible Bonus", TRUE, "Not Eligible")</f>
        <v>Not Eligible</v>
      </c>
      <c r="AF51" s="11" t="str" cm="1">
        <f t="array" ref="AF51">IFERROR(_xlfn.IFS(AND(C51="Sales", E51&gt;120000), "Top Sales"),"- ")</f>
        <v xml:space="preserve">- </v>
      </c>
      <c r="AG51" s="11" t="str" cm="1">
        <f t="array" ref="AG51">IFERROR(_xlfn.IFS(AND(G51&gt;5, H51&gt;=4), "Promotion"),"- ")</f>
        <v xml:space="preserve">- </v>
      </c>
      <c r="AH51" s="11" t="str" cm="1">
        <f t="array" ref="AH51">IFERROR(_xlfn.IFS(OR(D51&gt;7000, F51&gt;85), "Review Required")," - ")</f>
        <v>Review Required</v>
      </c>
      <c r="AI51" s="11" t="str" cm="1">
        <f t="array" ref="AI51">IFERROR(_xlfn.IFS(OR(J51="Inactive", F51&gt;80), "HR Action")," - ")</f>
        <v xml:space="preserve"> - </v>
      </c>
      <c r="AJ51" s="11" t="str" cm="1">
        <f t="array" ref="AJ51">IFERROR(_xlfn.IFS(D51&gt;=12000,"High",D51&gt;=9000,"Medium"),"Low " )</f>
        <v>Medium</v>
      </c>
      <c r="AK51" t="str" cm="1">
        <f t="array" ref="AK51">IFERROR(_xlfn.IFS(F51&gt;=95,"Excellent",F51&gt;=90,"Good"),"Poor" )</f>
        <v>Poor</v>
      </c>
      <c r="AL51" s="12" t="str" cm="1">
        <f t="array" ref="AL51">IFERROR(_xlfn.IFS(AND(C51="IT", H51=5,F51&gt;=90), "IT Star"), "- ")</f>
        <v xml:space="preserve">- </v>
      </c>
      <c r="AM51" s="11" t="str" cm="1">
        <f t="array" ref="AM51">IFERROR(_xlfn.IFS(OR(C51="Finance",C51="HR"),"Administration")," - ")</f>
        <v xml:space="preserve"> - </v>
      </c>
      <c r="AN51" s="11" t="str" cm="1">
        <f t="array" ref="AN51">IFERROR(_xlfn.IFS(AND(E51&gt;100000,I51="Yes", H51&gt;=4), " Employee of Month"),"- ")</f>
        <v xml:space="preserve">- </v>
      </c>
    </row>
    <row r="52" spans="1:40" ht="15.6" x14ac:dyDescent="0.3">
      <c r="A52" t="s">
        <v>83</v>
      </c>
      <c r="B52" t="s">
        <v>28</v>
      </c>
      <c r="C52" t="s">
        <v>4</v>
      </c>
      <c r="D52">
        <v>9412</v>
      </c>
      <c r="E52">
        <v>4000</v>
      </c>
      <c r="F52">
        <v>71</v>
      </c>
      <c r="G52">
        <v>9</v>
      </c>
      <c r="H52">
        <v>3</v>
      </c>
      <c r="I52" t="s">
        <v>12</v>
      </c>
      <c r="J52" t="s">
        <v>13</v>
      </c>
      <c r="K52" t="str">
        <f t="shared" si="3"/>
        <v>High</v>
      </c>
      <c r="L52" t="str">
        <f t="shared" si="19"/>
        <v>Needs Improvement</v>
      </c>
      <c r="M52" t="str">
        <f t="shared" si="20"/>
        <v>Working</v>
      </c>
      <c r="N52" t="str">
        <f t="shared" si="21"/>
        <v>No Bonus</v>
      </c>
      <c r="O52" t="str">
        <f t="shared" si="4"/>
        <v>Senior</v>
      </c>
      <c r="P52" t="str">
        <f t="shared" si="5"/>
        <v>Normal</v>
      </c>
      <c r="Q52" t="str">
        <f t="shared" si="6"/>
        <v>Achieved</v>
      </c>
      <c r="R52" t="str">
        <f t="shared" si="7"/>
        <v>Sales Team</v>
      </c>
      <c r="S52" t="str">
        <f t="shared" si="8"/>
        <v>OK</v>
      </c>
      <c r="T52" t="str">
        <f>IF(Employee_Data!F52&lt;85,"Warning","Good")</f>
        <v>Warning</v>
      </c>
      <c r="U52" t="str">
        <f t="shared" si="9"/>
        <v>Good</v>
      </c>
      <c r="V52" t="str">
        <f t="shared" si="10"/>
        <v>Poor</v>
      </c>
      <c r="W52" t="str">
        <f t="shared" si="11"/>
        <v>Good</v>
      </c>
      <c r="X52" t="str">
        <f t="shared" si="12"/>
        <v>Experienced</v>
      </c>
      <c r="Y52" t="str">
        <f t="shared" si="13"/>
        <v>Silver</v>
      </c>
      <c r="Z52" t="str">
        <f t="shared" si="14"/>
        <v>C</v>
      </c>
      <c r="AA52" t="str">
        <f t="shared" si="15"/>
        <v>Poor</v>
      </c>
      <c r="AB52" t="str">
        <f t="shared" si="16"/>
        <v>Expert</v>
      </c>
      <c r="AC52" t="str">
        <f t="shared" si="17"/>
        <v>Average</v>
      </c>
      <c r="AD52" t="str">
        <f t="shared" si="18"/>
        <v>Low</v>
      </c>
      <c r="AE52" t="str" cm="1">
        <f t="array" ref="AE52">_xlfn.IFS(AND(D52&gt;9000, F52&gt;95), "Eligible Bonus", TRUE, "Not Eligible")</f>
        <v>Not Eligible</v>
      </c>
      <c r="AF52" s="11" t="str" cm="1">
        <f t="array" ref="AF52">IFERROR(_xlfn.IFS(AND(C52="Sales", E52&gt;120000), "Top Sales"),"- ")</f>
        <v xml:space="preserve">- </v>
      </c>
      <c r="AG52" s="11" t="str" cm="1">
        <f t="array" ref="AG52">IFERROR(_xlfn.IFS(AND(G52&gt;5, H52&gt;=4), "Promotion"),"- ")</f>
        <v xml:space="preserve">- </v>
      </c>
      <c r="AH52" s="11" t="str" cm="1">
        <f t="array" ref="AH52">IFERROR(_xlfn.IFS(OR(D52&gt;7000, F52&gt;85), "Review Required")," - ")</f>
        <v>Review Required</v>
      </c>
      <c r="AI52" s="11" t="str" cm="1">
        <f t="array" ref="AI52">IFERROR(_xlfn.IFS(OR(J52="Inactive", F52&gt;80), "HR Action")," - ")</f>
        <v xml:space="preserve"> - </v>
      </c>
      <c r="AJ52" s="11" t="str" cm="1">
        <f t="array" ref="AJ52">IFERROR(_xlfn.IFS(D52&gt;=12000,"High",D52&gt;=9000,"Medium"),"Low " )</f>
        <v>Medium</v>
      </c>
      <c r="AK52" t="str" cm="1">
        <f t="array" ref="AK52">IFERROR(_xlfn.IFS(F52&gt;=95,"Excellent",F52&gt;=90,"Good"),"Poor" )</f>
        <v>Poor</v>
      </c>
      <c r="AL52" s="12" t="str" cm="1">
        <f t="array" ref="AL52">IFERROR(_xlfn.IFS(AND(C52="IT", H52=5,F52&gt;=90), "IT Star"), "- ")</f>
        <v xml:space="preserve">- </v>
      </c>
      <c r="AM52" s="11" t="str" cm="1">
        <f t="array" ref="AM52">IFERROR(_xlfn.IFS(OR(C52="Finance",C52="HR"),"Administration")," - ")</f>
        <v xml:space="preserve"> - </v>
      </c>
      <c r="AN52" s="11" t="str" cm="1">
        <f t="array" ref="AN52">IFERROR(_xlfn.IFS(AND(E52&gt;100000,I52="Yes", H52&gt;=4), " Employee of Month"),"- ")</f>
        <v xml:space="preserve">- </v>
      </c>
    </row>
    <row r="53" spans="1:40" ht="15.6" x14ac:dyDescent="0.3">
      <c r="A53" t="s">
        <v>104</v>
      </c>
      <c r="B53" t="s">
        <v>41</v>
      </c>
      <c r="C53" t="s">
        <v>16</v>
      </c>
      <c r="D53">
        <v>9463</v>
      </c>
      <c r="E53">
        <v>141000</v>
      </c>
      <c r="F53">
        <v>72</v>
      </c>
      <c r="G53">
        <v>3</v>
      </c>
      <c r="H53">
        <v>4</v>
      </c>
      <c r="I53" t="s">
        <v>17</v>
      </c>
      <c r="J53" t="s">
        <v>13</v>
      </c>
      <c r="K53" t="str">
        <f t="shared" si="3"/>
        <v>High</v>
      </c>
      <c r="L53" t="str">
        <f t="shared" si="19"/>
        <v>Needs Improvement</v>
      </c>
      <c r="M53" t="str">
        <f t="shared" si="20"/>
        <v>Working</v>
      </c>
      <c r="N53" t="str">
        <f t="shared" si="21"/>
        <v>Bonus</v>
      </c>
      <c r="O53" t="str">
        <f t="shared" si="4"/>
        <v>Junior</v>
      </c>
      <c r="P53" t="str">
        <f t="shared" si="5"/>
        <v>Normal</v>
      </c>
      <c r="Q53" t="str">
        <f t="shared" si="6"/>
        <v>Not Achieved</v>
      </c>
      <c r="R53" t="str">
        <f t="shared" si="7"/>
        <v>Other Team</v>
      </c>
      <c r="S53" t="str">
        <f t="shared" si="8"/>
        <v>OK</v>
      </c>
      <c r="T53" t="str">
        <f>IF(Employee_Data!F53&lt;85,"Warning","Good")</f>
        <v>Warning</v>
      </c>
      <c r="U53" t="str">
        <f t="shared" si="9"/>
        <v>Good</v>
      </c>
      <c r="V53" t="str">
        <f t="shared" si="10"/>
        <v>Poor</v>
      </c>
      <c r="W53" t="str">
        <f t="shared" si="11"/>
        <v>Very Good</v>
      </c>
      <c r="X53" t="str">
        <f t="shared" si="12"/>
        <v>Beginner</v>
      </c>
      <c r="Y53" t="str">
        <f t="shared" si="13"/>
        <v>Gold</v>
      </c>
      <c r="Z53" t="str">
        <f t="shared" si="14"/>
        <v>C</v>
      </c>
      <c r="AA53" t="str">
        <f t="shared" si="15"/>
        <v>Poor</v>
      </c>
      <c r="AB53" t="str">
        <f t="shared" si="16"/>
        <v>Mid</v>
      </c>
      <c r="AC53" t="str">
        <f t="shared" si="17"/>
        <v>Good</v>
      </c>
      <c r="AD53" t="str">
        <f t="shared" si="18"/>
        <v>Best</v>
      </c>
      <c r="AE53" t="str" cm="1">
        <f t="array" ref="AE53">_xlfn.IFS(AND(D53&gt;9000, F53&gt;95), "Eligible Bonus", TRUE, "Not Eligible")</f>
        <v>Not Eligible</v>
      </c>
      <c r="AF53" s="11" t="str" cm="1">
        <f t="array" ref="AF53">IFERROR(_xlfn.IFS(AND(C53="Sales", E53&gt;120000), "Top Sales"),"- ")</f>
        <v xml:space="preserve">- </v>
      </c>
      <c r="AG53" s="11" t="str" cm="1">
        <f t="array" ref="AG53">IFERROR(_xlfn.IFS(AND(G53&gt;5, H53&gt;=4), "Promotion"),"- ")</f>
        <v xml:space="preserve">- </v>
      </c>
      <c r="AH53" s="11" t="str" cm="1">
        <f t="array" ref="AH53">IFERROR(_xlfn.IFS(OR(D53&gt;7000, F53&gt;85), "Review Required")," - ")</f>
        <v>Review Required</v>
      </c>
      <c r="AI53" s="11" t="str" cm="1">
        <f t="array" ref="AI53">IFERROR(_xlfn.IFS(OR(J53="Inactive", F53&gt;80), "HR Action")," - ")</f>
        <v xml:space="preserve"> - </v>
      </c>
      <c r="AJ53" s="11" t="str" cm="1">
        <f t="array" ref="AJ53">IFERROR(_xlfn.IFS(D53&gt;=12000,"High",D53&gt;=9000,"Medium"),"Low " )</f>
        <v>Medium</v>
      </c>
      <c r="AK53" t="str" cm="1">
        <f t="array" ref="AK53">IFERROR(_xlfn.IFS(F53&gt;=95,"Excellent",F53&gt;=90,"Good"),"Poor" )</f>
        <v>Poor</v>
      </c>
      <c r="AL53" s="12" t="str" cm="1">
        <f t="array" ref="AL53">IFERROR(_xlfn.IFS(AND(C53="IT", H53=5,F53&gt;=90), "IT Star"), "- ")</f>
        <v xml:space="preserve">- </v>
      </c>
      <c r="AM53" s="11" t="str" cm="1">
        <f t="array" ref="AM53">IFERROR(_xlfn.IFS(OR(C53="Finance",C53="HR"),"Administration")," - ")</f>
        <v>Administration</v>
      </c>
      <c r="AN53" s="11" t="str" cm="1">
        <f t="array" ref="AN53">IFERROR(_xlfn.IFS(AND(E53&gt;100000,I53="Yes", H53&gt;=4), " Employee of Month"),"- ")</f>
        <v xml:space="preserve">- </v>
      </c>
    </row>
    <row r="54" spans="1:40" ht="15.6" x14ac:dyDescent="0.3">
      <c r="A54" t="s">
        <v>125</v>
      </c>
      <c r="B54" t="s">
        <v>19</v>
      </c>
      <c r="C54" t="s">
        <v>20</v>
      </c>
      <c r="D54">
        <v>9514</v>
      </c>
      <c r="E54">
        <v>58000</v>
      </c>
      <c r="F54">
        <v>73</v>
      </c>
      <c r="G54">
        <v>9</v>
      </c>
      <c r="H54">
        <v>5</v>
      </c>
      <c r="I54" t="s">
        <v>12</v>
      </c>
      <c r="J54" t="s">
        <v>13</v>
      </c>
      <c r="K54" t="str">
        <f t="shared" si="3"/>
        <v>High</v>
      </c>
      <c r="L54" t="str">
        <f t="shared" si="19"/>
        <v>Needs Improvement</v>
      </c>
      <c r="M54" t="str">
        <f t="shared" si="20"/>
        <v>Working</v>
      </c>
      <c r="N54" t="str">
        <f t="shared" si="21"/>
        <v>No Bonus</v>
      </c>
      <c r="O54" t="str">
        <f t="shared" si="4"/>
        <v>Senior</v>
      </c>
      <c r="P54" t="str">
        <f t="shared" si="5"/>
        <v>Outstanding</v>
      </c>
      <c r="Q54" t="str">
        <f t="shared" si="6"/>
        <v>Achieved</v>
      </c>
      <c r="R54" t="str">
        <f t="shared" si="7"/>
        <v>Other Team</v>
      </c>
      <c r="S54" t="str">
        <f t="shared" si="8"/>
        <v>OK</v>
      </c>
      <c r="T54" t="str">
        <f>IF(Employee_Data!F54&lt;85,"Warning","Good")</f>
        <v>Warning</v>
      </c>
      <c r="U54" t="str">
        <f t="shared" si="9"/>
        <v>Good</v>
      </c>
      <c r="V54" t="str">
        <f t="shared" si="10"/>
        <v>Poor</v>
      </c>
      <c r="W54" t="str">
        <f t="shared" si="11"/>
        <v>Outstanding</v>
      </c>
      <c r="X54" t="str">
        <f t="shared" si="12"/>
        <v>Experienced</v>
      </c>
      <c r="Y54" t="str">
        <f t="shared" si="13"/>
        <v>Silver</v>
      </c>
      <c r="Z54" t="str">
        <f t="shared" si="14"/>
        <v>C</v>
      </c>
      <c r="AA54" t="str">
        <f t="shared" si="15"/>
        <v>Poor</v>
      </c>
      <c r="AB54" t="str">
        <f t="shared" si="16"/>
        <v>Expert</v>
      </c>
      <c r="AC54" t="str">
        <f t="shared" si="17"/>
        <v>Excellent</v>
      </c>
      <c r="AD54" t="str">
        <f t="shared" si="18"/>
        <v>Low</v>
      </c>
      <c r="AE54" t="str" cm="1">
        <f t="array" ref="AE54">_xlfn.IFS(AND(D54&gt;9000, F54&gt;95), "Eligible Bonus", TRUE, "Not Eligible")</f>
        <v>Not Eligible</v>
      </c>
      <c r="AF54" s="11" t="str" cm="1">
        <f t="array" ref="AF54">IFERROR(_xlfn.IFS(AND(C54="Sales", E54&gt;120000), "Top Sales"),"- ")</f>
        <v xml:space="preserve">- </v>
      </c>
      <c r="AG54" s="11" t="str" cm="1">
        <f t="array" ref="AG54">IFERROR(_xlfn.IFS(AND(G54&gt;5, H54&gt;=4), "Promotion"),"- ")</f>
        <v>Promotion</v>
      </c>
      <c r="AH54" s="11" t="str" cm="1">
        <f t="array" ref="AH54">IFERROR(_xlfn.IFS(OR(D54&gt;7000, F54&gt;85), "Review Required")," - ")</f>
        <v>Review Required</v>
      </c>
      <c r="AI54" s="11" t="str" cm="1">
        <f t="array" ref="AI54">IFERROR(_xlfn.IFS(OR(J54="Inactive", F54&gt;80), "HR Action")," - ")</f>
        <v xml:space="preserve"> - </v>
      </c>
      <c r="AJ54" s="11" t="str" cm="1">
        <f t="array" ref="AJ54">IFERROR(_xlfn.IFS(D54&gt;=12000,"High",D54&gt;=9000,"Medium"),"Low " )</f>
        <v>Medium</v>
      </c>
      <c r="AK54" t="str" cm="1">
        <f t="array" ref="AK54">IFERROR(_xlfn.IFS(F54&gt;=95,"Excellent",F54&gt;=90,"Good"),"Poor" )</f>
        <v>Poor</v>
      </c>
      <c r="AL54" s="12" t="str" cm="1">
        <f t="array" ref="AL54">IFERROR(_xlfn.IFS(AND(C54="IT", H54=5,F54&gt;=90), "IT Star"), "- ")</f>
        <v xml:space="preserve">- </v>
      </c>
      <c r="AM54" s="11" t="str" cm="1">
        <f t="array" ref="AM54">IFERROR(_xlfn.IFS(OR(C54="Finance",C54="HR"),"Administration")," - ")</f>
        <v xml:space="preserve"> - </v>
      </c>
      <c r="AN54" s="11" t="str" cm="1">
        <f t="array" ref="AN54">IFERROR(_xlfn.IFS(AND(E54&gt;100000,I54="Yes", H54&gt;=4), " Employee of Month"),"- ")</f>
        <v xml:space="preserve">- </v>
      </c>
    </row>
    <row r="55" spans="1:40" ht="15.6" x14ac:dyDescent="0.3">
      <c r="A55" t="s">
        <v>36</v>
      </c>
      <c r="B55" t="s">
        <v>37</v>
      </c>
      <c r="C55" t="s">
        <v>26</v>
      </c>
      <c r="D55">
        <v>9741</v>
      </c>
      <c r="E55">
        <v>187000</v>
      </c>
      <c r="F55">
        <v>72</v>
      </c>
      <c r="G55">
        <v>11</v>
      </c>
      <c r="H55">
        <v>2</v>
      </c>
      <c r="I55" t="s">
        <v>17</v>
      </c>
      <c r="J55" t="s">
        <v>13</v>
      </c>
      <c r="K55" t="str">
        <f t="shared" si="3"/>
        <v>High</v>
      </c>
      <c r="L55" t="str">
        <f t="shared" si="19"/>
        <v>Needs Improvement</v>
      </c>
      <c r="M55" t="str">
        <f t="shared" si="20"/>
        <v>Working</v>
      </c>
      <c r="N55" t="str">
        <f t="shared" si="21"/>
        <v>Bonus</v>
      </c>
      <c r="O55" t="str">
        <f t="shared" si="4"/>
        <v>Senior</v>
      </c>
      <c r="P55" t="str">
        <f t="shared" si="5"/>
        <v>Normal</v>
      </c>
      <c r="Q55" t="str">
        <f t="shared" si="6"/>
        <v>Not Achieved</v>
      </c>
      <c r="R55" t="str">
        <f t="shared" si="7"/>
        <v>Other Team</v>
      </c>
      <c r="S55" t="str">
        <f t="shared" si="8"/>
        <v>OK</v>
      </c>
      <c r="T55" t="str">
        <f>IF(Employee_Data!F55&lt;85,"Warning","Good")</f>
        <v>Warning</v>
      </c>
      <c r="U55" t="str">
        <f t="shared" si="9"/>
        <v>Good</v>
      </c>
      <c r="V55" t="str">
        <f t="shared" si="10"/>
        <v>Poor</v>
      </c>
      <c r="W55" t="str">
        <f t="shared" si="11"/>
        <v>Needs Improvement</v>
      </c>
      <c r="X55" t="str">
        <f t="shared" si="12"/>
        <v>Exper</v>
      </c>
      <c r="Y55" t="str">
        <f t="shared" si="13"/>
        <v>Platinum</v>
      </c>
      <c r="Z55" t="str">
        <f t="shared" si="14"/>
        <v>C</v>
      </c>
      <c r="AA55" t="str">
        <f t="shared" si="15"/>
        <v>Poor</v>
      </c>
      <c r="AB55" t="str">
        <f t="shared" si="16"/>
        <v>Expert</v>
      </c>
      <c r="AC55" t="str">
        <f t="shared" si="17"/>
        <v>Average</v>
      </c>
      <c r="AD55" t="str">
        <f t="shared" si="18"/>
        <v>Top</v>
      </c>
      <c r="AE55" t="str" cm="1">
        <f t="array" ref="AE55">_xlfn.IFS(AND(D55&gt;9000, F55&gt;95), "Eligible Bonus", TRUE, "Not Eligible")</f>
        <v>Not Eligible</v>
      </c>
      <c r="AF55" s="11" t="str" cm="1">
        <f t="array" ref="AF55">IFERROR(_xlfn.IFS(AND(C55="Sales", E55&gt;120000), "Top Sales"),"- ")</f>
        <v xml:space="preserve">- </v>
      </c>
      <c r="AG55" s="11" t="str" cm="1">
        <f t="array" ref="AG55">IFERROR(_xlfn.IFS(AND(G55&gt;5, H55&gt;=4), "Promotion"),"- ")</f>
        <v xml:space="preserve">- </v>
      </c>
      <c r="AH55" s="11" t="str" cm="1">
        <f t="array" ref="AH55">IFERROR(_xlfn.IFS(OR(D55&gt;7000, F55&gt;85), "Review Required")," - ")</f>
        <v>Review Required</v>
      </c>
      <c r="AI55" s="11" t="str" cm="1">
        <f t="array" ref="AI55">IFERROR(_xlfn.IFS(OR(J55="Inactive", F55&gt;80), "HR Action")," - ")</f>
        <v xml:space="preserve"> - </v>
      </c>
      <c r="AJ55" s="11" t="str" cm="1">
        <f t="array" ref="AJ55">IFERROR(_xlfn.IFS(D55&gt;=12000,"High",D55&gt;=9000,"Medium"),"Low " )</f>
        <v>Medium</v>
      </c>
      <c r="AK55" t="str" cm="1">
        <f t="array" ref="AK55">IFERROR(_xlfn.IFS(F55&gt;=95,"Excellent",F55&gt;=90,"Good"),"Poor" )</f>
        <v>Poor</v>
      </c>
      <c r="AL55" s="12" t="str" cm="1">
        <f t="array" ref="AL55">IFERROR(_xlfn.IFS(AND(C55="IT", H55=5,F55&gt;=90), "IT Star"), "- ")</f>
        <v xml:space="preserve">- </v>
      </c>
      <c r="AM55" s="11" t="str" cm="1">
        <f t="array" ref="AM55">IFERROR(_xlfn.IFS(OR(C55="Finance",C55="HR"),"Administration")," - ")</f>
        <v xml:space="preserve"> - </v>
      </c>
      <c r="AN55" s="11" t="str" cm="1">
        <f t="array" ref="AN55">IFERROR(_xlfn.IFS(AND(E55&gt;100000,I55="Yes", H55&gt;=4), " Employee of Month"),"- ")</f>
        <v xml:space="preserve">- </v>
      </c>
    </row>
    <row r="56" spans="1:40" ht="15.6" x14ac:dyDescent="0.3">
      <c r="A56" t="s">
        <v>63</v>
      </c>
      <c r="B56" t="s">
        <v>11</v>
      </c>
      <c r="C56" t="s">
        <v>4</v>
      </c>
      <c r="D56">
        <v>9792</v>
      </c>
      <c r="E56">
        <v>104000</v>
      </c>
      <c r="F56">
        <v>73</v>
      </c>
      <c r="G56">
        <v>5</v>
      </c>
      <c r="H56">
        <v>3</v>
      </c>
      <c r="I56" t="s">
        <v>12</v>
      </c>
      <c r="J56" t="s">
        <v>13</v>
      </c>
      <c r="K56" t="str">
        <f t="shared" si="3"/>
        <v>High</v>
      </c>
      <c r="L56" t="str">
        <f t="shared" si="19"/>
        <v>Needs Improvement</v>
      </c>
      <c r="M56" t="str">
        <f t="shared" si="20"/>
        <v>Working</v>
      </c>
      <c r="N56" t="str">
        <f t="shared" si="21"/>
        <v>Bonus</v>
      </c>
      <c r="O56" t="str">
        <f t="shared" si="4"/>
        <v>Senior</v>
      </c>
      <c r="P56" t="str">
        <f t="shared" si="5"/>
        <v>Normal</v>
      </c>
      <c r="Q56" t="str">
        <f t="shared" si="6"/>
        <v>Achieved</v>
      </c>
      <c r="R56" t="str">
        <f t="shared" si="7"/>
        <v>Sales Team</v>
      </c>
      <c r="S56" t="str">
        <f t="shared" si="8"/>
        <v>OK</v>
      </c>
      <c r="T56" t="str">
        <f>IF(Employee_Data!F56&lt;85,"Warning","Good")</f>
        <v>Warning</v>
      </c>
      <c r="U56" t="str">
        <f t="shared" si="9"/>
        <v>Good</v>
      </c>
      <c r="V56" t="str">
        <f t="shared" si="10"/>
        <v>Poor</v>
      </c>
      <c r="W56" t="str">
        <f t="shared" si="11"/>
        <v>Good</v>
      </c>
      <c r="X56" t="str">
        <f t="shared" si="12"/>
        <v>Experienced</v>
      </c>
      <c r="Y56" t="str">
        <f t="shared" si="13"/>
        <v>Gold</v>
      </c>
      <c r="Z56" t="str">
        <f t="shared" si="14"/>
        <v>C</v>
      </c>
      <c r="AA56" t="str">
        <f t="shared" si="15"/>
        <v>Poor</v>
      </c>
      <c r="AB56" t="str">
        <f t="shared" si="16"/>
        <v>Senior</v>
      </c>
      <c r="AC56" t="str">
        <f t="shared" si="17"/>
        <v>Average</v>
      </c>
      <c r="AD56" t="str">
        <f t="shared" si="18"/>
        <v>Good</v>
      </c>
      <c r="AE56" t="str" cm="1">
        <f t="array" ref="AE56">_xlfn.IFS(AND(D56&gt;9000, F56&gt;95), "Eligible Bonus", TRUE, "Not Eligible")</f>
        <v>Not Eligible</v>
      </c>
      <c r="AF56" s="11" t="str" cm="1">
        <f t="array" ref="AF56">IFERROR(_xlfn.IFS(AND(C56="Sales", E56&gt;120000), "Top Sales"),"- ")</f>
        <v xml:space="preserve">- </v>
      </c>
      <c r="AG56" s="11" t="str" cm="1">
        <f t="array" ref="AG56">IFERROR(_xlfn.IFS(AND(G56&gt;5, H56&gt;=4), "Promotion"),"- ")</f>
        <v xml:space="preserve">- </v>
      </c>
      <c r="AH56" s="11" t="str" cm="1">
        <f t="array" ref="AH56">IFERROR(_xlfn.IFS(OR(D56&gt;7000, F56&gt;85), "Review Required")," - ")</f>
        <v>Review Required</v>
      </c>
      <c r="AI56" s="11" t="str" cm="1">
        <f t="array" ref="AI56">IFERROR(_xlfn.IFS(OR(J56="Inactive", F56&gt;80), "HR Action")," - ")</f>
        <v xml:space="preserve"> - </v>
      </c>
      <c r="AJ56" s="11" t="str" cm="1">
        <f t="array" ref="AJ56">IFERROR(_xlfn.IFS(D56&gt;=12000,"High",D56&gt;=9000,"Medium"),"Low " )</f>
        <v>Medium</v>
      </c>
      <c r="AK56" t="str" cm="1">
        <f t="array" ref="AK56">IFERROR(_xlfn.IFS(F56&gt;=95,"Excellent",F56&gt;=90,"Good"),"Poor" )</f>
        <v>Poor</v>
      </c>
      <c r="AL56" s="12" t="str" cm="1">
        <f t="array" ref="AL56">IFERROR(_xlfn.IFS(AND(C56="IT", H56=5,F56&gt;=90), "IT Star"), "- ")</f>
        <v xml:space="preserve">- </v>
      </c>
      <c r="AM56" s="11" t="str" cm="1">
        <f t="array" ref="AM56">IFERROR(_xlfn.IFS(OR(C56="Finance",C56="HR"),"Administration")," - ")</f>
        <v xml:space="preserve"> - </v>
      </c>
      <c r="AN56" s="11" t="str" cm="1">
        <f t="array" ref="AN56">IFERROR(_xlfn.IFS(AND(E56&gt;100000,I56="Yes", H56&gt;=4), " Employee of Month"),"- ")</f>
        <v xml:space="preserve">- </v>
      </c>
    </row>
    <row r="57" spans="1:40" ht="15.6" x14ac:dyDescent="0.3">
      <c r="A57" t="s">
        <v>84</v>
      </c>
      <c r="B57" t="s">
        <v>31</v>
      </c>
      <c r="C57" t="s">
        <v>16</v>
      </c>
      <c r="D57">
        <v>9843</v>
      </c>
      <c r="E57">
        <v>21000</v>
      </c>
      <c r="F57">
        <v>74</v>
      </c>
      <c r="G57">
        <v>11</v>
      </c>
      <c r="H57">
        <v>4</v>
      </c>
      <c r="I57" t="s">
        <v>17</v>
      </c>
      <c r="J57" t="s">
        <v>13</v>
      </c>
      <c r="K57" t="str">
        <f t="shared" si="3"/>
        <v>High</v>
      </c>
      <c r="L57" t="str">
        <f t="shared" si="19"/>
        <v>Needs Improvement</v>
      </c>
      <c r="M57" t="str">
        <f t="shared" si="20"/>
        <v>Working</v>
      </c>
      <c r="N57" t="str">
        <f t="shared" si="21"/>
        <v>No Bonus</v>
      </c>
      <c r="O57" t="str">
        <f t="shared" si="4"/>
        <v>Senior</v>
      </c>
      <c r="P57" t="str">
        <f t="shared" si="5"/>
        <v>Normal</v>
      </c>
      <c r="Q57" t="str">
        <f t="shared" si="6"/>
        <v>Not Achieved</v>
      </c>
      <c r="R57" t="str">
        <f t="shared" si="7"/>
        <v>Other Team</v>
      </c>
      <c r="S57" t="str">
        <f t="shared" si="8"/>
        <v>OK</v>
      </c>
      <c r="T57" t="str">
        <f>IF(Employee_Data!F57&lt;85,"Warning","Good")</f>
        <v>Warning</v>
      </c>
      <c r="U57" t="str">
        <f t="shared" si="9"/>
        <v>Good</v>
      </c>
      <c r="V57" t="str">
        <f t="shared" si="10"/>
        <v>Poor</v>
      </c>
      <c r="W57" t="str">
        <f t="shared" si="11"/>
        <v>Very Good</v>
      </c>
      <c r="X57" t="str">
        <f t="shared" si="12"/>
        <v>Exper</v>
      </c>
      <c r="Y57" t="str">
        <f t="shared" si="13"/>
        <v>Silver</v>
      </c>
      <c r="Z57" t="str">
        <f t="shared" si="14"/>
        <v>C</v>
      </c>
      <c r="AA57" t="str">
        <f t="shared" si="15"/>
        <v>Poor</v>
      </c>
      <c r="AB57" t="str">
        <f t="shared" si="16"/>
        <v>Expert</v>
      </c>
      <c r="AC57" t="str">
        <f t="shared" si="17"/>
        <v>Good</v>
      </c>
      <c r="AD57" t="str">
        <f t="shared" si="18"/>
        <v>Low</v>
      </c>
      <c r="AE57" t="str" cm="1">
        <f t="array" ref="AE57">_xlfn.IFS(AND(D57&gt;9000, F57&gt;95), "Eligible Bonus", TRUE, "Not Eligible")</f>
        <v>Not Eligible</v>
      </c>
      <c r="AF57" s="11" t="str" cm="1">
        <f t="array" ref="AF57">IFERROR(_xlfn.IFS(AND(C57="Sales", E57&gt;120000), "Top Sales"),"- ")</f>
        <v xml:space="preserve">- </v>
      </c>
      <c r="AG57" s="11" t="str" cm="1">
        <f t="array" ref="AG57">IFERROR(_xlfn.IFS(AND(G57&gt;5, H57&gt;=4), "Promotion"),"- ")</f>
        <v>Promotion</v>
      </c>
      <c r="AH57" s="11" t="str" cm="1">
        <f t="array" ref="AH57">IFERROR(_xlfn.IFS(OR(D57&gt;7000, F57&gt;85), "Review Required")," - ")</f>
        <v>Review Required</v>
      </c>
      <c r="AI57" s="11" t="str" cm="1">
        <f t="array" ref="AI57">IFERROR(_xlfn.IFS(OR(J57="Inactive", F57&gt;80), "HR Action")," - ")</f>
        <v xml:space="preserve"> - </v>
      </c>
      <c r="AJ57" s="11" t="str" cm="1">
        <f t="array" ref="AJ57">IFERROR(_xlfn.IFS(D57&gt;=12000,"High",D57&gt;=9000,"Medium"),"Low " )</f>
        <v>Medium</v>
      </c>
      <c r="AK57" t="str" cm="1">
        <f t="array" ref="AK57">IFERROR(_xlfn.IFS(F57&gt;=95,"Excellent",F57&gt;=90,"Good"),"Poor" )</f>
        <v>Poor</v>
      </c>
      <c r="AL57" s="12" t="str" cm="1">
        <f t="array" ref="AL57">IFERROR(_xlfn.IFS(AND(C57="IT", H57=5,F57&gt;=90), "IT Star"), "- ")</f>
        <v xml:space="preserve">- </v>
      </c>
      <c r="AM57" s="11" t="str" cm="1">
        <f t="array" ref="AM57">IFERROR(_xlfn.IFS(OR(C57="Finance",C57="HR"),"Administration")," - ")</f>
        <v>Administration</v>
      </c>
      <c r="AN57" s="11" t="str" cm="1">
        <f t="array" ref="AN57">IFERROR(_xlfn.IFS(AND(E57&gt;100000,I57="Yes", H57&gt;=4), " Employee of Month"),"- ")</f>
        <v xml:space="preserve">- </v>
      </c>
    </row>
    <row r="58" spans="1:40" ht="15.6" x14ac:dyDescent="0.3">
      <c r="A58" t="s">
        <v>105</v>
      </c>
      <c r="B58" t="s">
        <v>43</v>
      </c>
      <c r="C58" t="s">
        <v>20</v>
      </c>
      <c r="D58">
        <v>9894</v>
      </c>
      <c r="E58">
        <v>158000</v>
      </c>
      <c r="F58">
        <v>75</v>
      </c>
      <c r="G58">
        <v>5</v>
      </c>
      <c r="H58">
        <v>5</v>
      </c>
      <c r="I58" t="s">
        <v>12</v>
      </c>
      <c r="J58" t="s">
        <v>13</v>
      </c>
      <c r="K58" t="str">
        <f t="shared" si="3"/>
        <v>High</v>
      </c>
      <c r="L58" t="str">
        <f t="shared" si="19"/>
        <v>Needs Improvement</v>
      </c>
      <c r="M58" t="str">
        <f t="shared" si="20"/>
        <v>Working</v>
      </c>
      <c r="N58" t="str">
        <f t="shared" si="21"/>
        <v>Bonus</v>
      </c>
      <c r="O58" t="str">
        <f t="shared" si="4"/>
        <v>Senior</v>
      </c>
      <c r="P58" t="str">
        <f t="shared" si="5"/>
        <v>Outstanding</v>
      </c>
      <c r="Q58" t="str">
        <f t="shared" si="6"/>
        <v>Achieved</v>
      </c>
      <c r="R58" t="str">
        <f t="shared" si="7"/>
        <v>Other Team</v>
      </c>
      <c r="S58" t="str">
        <f t="shared" si="8"/>
        <v>OK</v>
      </c>
      <c r="T58" t="str">
        <f>IF(Employee_Data!F58&lt;85,"Warning","Good")</f>
        <v>Warning</v>
      </c>
      <c r="U58" t="str">
        <f t="shared" si="9"/>
        <v>Good</v>
      </c>
      <c r="V58" t="str">
        <f t="shared" si="10"/>
        <v>Poor</v>
      </c>
      <c r="W58" t="str">
        <f t="shared" si="11"/>
        <v>Outstanding</v>
      </c>
      <c r="X58" t="str">
        <f t="shared" si="12"/>
        <v>Experienced</v>
      </c>
      <c r="Y58" t="str">
        <f t="shared" si="13"/>
        <v>Platinum</v>
      </c>
      <c r="Z58" t="str">
        <f t="shared" si="14"/>
        <v>C</v>
      </c>
      <c r="AA58" t="str">
        <f t="shared" si="15"/>
        <v>Poor</v>
      </c>
      <c r="AB58" t="str">
        <f t="shared" si="16"/>
        <v>Senior</v>
      </c>
      <c r="AC58" t="str">
        <f t="shared" si="17"/>
        <v>Excellent</v>
      </c>
      <c r="AD58" t="str">
        <f t="shared" si="18"/>
        <v>Best</v>
      </c>
      <c r="AE58" t="str" cm="1">
        <f t="array" ref="AE58">_xlfn.IFS(AND(D58&gt;9000, F58&gt;95), "Eligible Bonus", TRUE, "Not Eligible")</f>
        <v>Not Eligible</v>
      </c>
      <c r="AF58" s="11" t="str" cm="1">
        <f t="array" ref="AF58">IFERROR(_xlfn.IFS(AND(C58="Sales", E58&gt;120000), "Top Sales"),"- ")</f>
        <v xml:space="preserve">- </v>
      </c>
      <c r="AG58" s="11" t="str" cm="1">
        <f t="array" ref="AG58">IFERROR(_xlfn.IFS(AND(G58&gt;5, H58&gt;=4), "Promotion"),"- ")</f>
        <v xml:space="preserve">- </v>
      </c>
      <c r="AH58" s="11" t="str" cm="1">
        <f t="array" ref="AH58">IFERROR(_xlfn.IFS(OR(D58&gt;7000, F58&gt;85), "Review Required")," - ")</f>
        <v>Review Required</v>
      </c>
      <c r="AI58" s="11" t="str" cm="1">
        <f t="array" ref="AI58">IFERROR(_xlfn.IFS(OR(J58="Inactive", F58&gt;80), "HR Action")," - ")</f>
        <v xml:space="preserve"> - </v>
      </c>
      <c r="AJ58" s="11" t="str" cm="1">
        <f t="array" ref="AJ58">IFERROR(_xlfn.IFS(D58&gt;=12000,"High",D58&gt;=9000,"Medium"),"Low " )</f>
        <v>Medium</v>
      </c>
      <c r="AK58" t="str" cm="1">
        <f t="array" ref="AK58">IFERROR(_xlfn.IFS(F58&gt;=95,"Excellent",F58&gt;=90,"Good"),"Poor" )</f>
        <v>Poor</v>
      </c>
      <c r="AL58" s="12" t="str" cm="1">
        <f t="array" ref="AL58">IFERROR(_xlfn.IFS(AND(C58="IT", H58=5,F58&gt;=90), "IT Star"), "- ")</f>
        <v xml:space="preserve">- </v>
      </c>
      <c r="AM58" s="11" t="str" cm="1">
        <f t="array" ref="AM58">IFERROR(_xlfn.IFS(OR(C58="Finance",C58="HR"),"Administration")," - ")</f>
        <v xml:space="preserve"> - </v>
      </c>
      <c r="AN58" s="11" t="str" cm="1">
        <f t="array" ref="AN58">IFERROR(_xlfn.IFS(AND(E58&gt;100000,I58="Yes", H58&gt;=4), " Employee of Month"),"- ")</f>
        <v xml:space="preserve"> Employee of Month</v>
      </c>
    </row>
    <row r="59" spans="1:40" ht="15.6" x14ac:dyDescent="0.3">
      <c r="A59" t="s">
        <v>126</v>
      </c>
      <c r="B59" t="s">
        <v>22</v>
      </c>
      <c r="C59" t="s">
        <v>23</v>
      </c>
      <c r="D59">
        <v>9945</v>
      </c>
      <c r="E59">
        <v>75000</v>
      </c>
      <c r="F59">
        <v>76</v>
      </c>
      <c r="G59">
        <v>11</v>
      </c>
      <c r="H59">
        <v>1</v>
      </c>
      <c r="I59" t="s">
        <v>17</v>
      </c>
      <c r="J59" t="s">
        <v>13</v>
      </c>
      <c r="K59" t="str">
        <f t="shared" si="3"/>
        <v>High</v>
      </c>
      <c r="L59" t="str">
        <f t="shared" si="19"/>
        <v>Needs Improvement</v>
      </c>
      <c r="M59" t="str">
        <f t="shared" si="20"/>
        <v>Working</v>
      </c>
      <c r="N59" t="str">
        <f t="shared" si="21"/>
        <v>No Bonus</v>
      </c>
      <c r="O59" t="str">
        <f t="shared" si="4"/>
        <v>Senior</v>
      </c>
      <c r="P59" t="str">
        <f t="shared" si="5"/>
        <v>Normal</v>
      </c>
      <c r="Q59" t="str">
        <f t="shared" si="6"/>
        <v>Not Achieved</v>
      </c>
      <c r="R59" t="str">
        <f t="shared" si="7"/>
        <v>Other Team</v>
      </c>
      <c r="S59" t="str">
        <f t="shared" si="8"/>
        <v>OK</v>
      </c>
      <c r="T59" t="str">
        <f>IF(Employee_Data!F59&lt;85,"Warning","Good")</f>
        <v>Warning</v>
      </c>
      <c r="U59" t="str">
        <f t="shared" si="9"/>
        <v>Good</v>
      </c>
      <c r="V59" t="str">
        <f t="shared" si="10"/>
        <v>Poor</v>
      </c>
      <c r="W59" t="str">
        <f t="shared" si="11"/>
        <v>Needs Improvement</v>
      </c>
      <c r="X59" t="str">
        <f t="shared" si="12"/>
        <v>Exper</v>
      </c>
      <c r="Y59" t="str">
        <f t="shared" si="13"/>
        <v>Silver</v>
      </c>
      <c r="Z59" t="str">
        <f t="shared" si="14"/>
        <v>C</v>
      </c>
      <c r="AA59" t="str">
        <f t="shared" si="15"/>
        <v>Poor</v>
      </c>
      <c r="AB59" t="str">
        <f t="shared" si="16"/>
        <v>Expert</v>
      </c>
      <c r="AC59" t="str">
        <f t="shared" si="17"/>
        <v>Poor</v>
      </c>
      <c r="AD59" t="str">
        <f t="shared" si="18"/>
        <v>Low</v>
      </c>
      <c r="AE59" t="str" cm="1">
        <f t="array" ref="AE59">_xlfn.IFS(AND(D59&gt;9000, F59&gt;95), "Eligible Bonus", TRUE, "Not Eligible")</f>
        <v>Not Eligible</v>
      </c>
      <c r="AF59" s="11" t="str" cm="1">
        <f t="array" ref="AF59">IFERROR(_xlfn.IFS(AND(C59="Sales", E59&gt;120000), "Top Sales"),"- ")</f>
        <v xml:space="preserve">- </v>
      </c>
      <c r="AG59" s="11" t="str" cm="1">
        <f t="array" ref="AG59">IFERROR(_xlfn.IFS(AND(G59&gt;5, H59&gt;=4), "Promotion"),"- ")</f>
        <v xml:space="preserve">- </v>
      </c>
      <c r="AH59" s="11" t="str" cm="1">
        <f t="array" ref="AH59">IFERROR(_xlfn.IFS(OR(D59&gt;7000, F59&gt;85), "Review Required")," - ")</f>
        <v>Review Required</v>
      </c>
      <c r="AI59" s="11" t="str" cm="1">
        <f t="array" ref="AI59">IFERROR(_xlfn.IFS(OR(J59="Inactive", F59&gt;80), "HR Action")," - ")</f>
        <v xml:space="preserve"> - </v>
      </c>
      <c r="AJ59" s="11" t="str" cm="1">
        <f t="array" ref="AJ59">IFERROR(_xlfn.IFS(D59&gt;=12000,"High",D59&gt;=9000,"Medium"),"Low " )</f>
        <v>Medium</v>
      </c>
      <c r="AK59" t="str" cm="1">
        <f t="array" ref="AK59">IFERROR(_xlfn.IFS(F59&gt;=95,"Excellent",F59&gt;=90,"Good"),"Poor" )</f>
        <v>Poor</v>
      </c>
      <c r="AL59" s="12" t="str" cm="1">
        <f t="array" ref="AL59">IFERROR(_xlfn.IFS(AND(C59="IT", H59=5,F59&gt;=90), "IT Star"), "- ")</f>
        <v xml:space="preserve">- </v>
      </c>
      <c r="AM59" s="11" t="str" cm="1">
        <f t="array" ref="AM59">IFERROR(_xlfn.IFS(OR(C59="Finance",C59="HR"),"Administration")," - ")</f>
        <v>Administration</v>
      </c>
      <c r="AN59" s="11" t="str" cm="1">
        <f t="array" ref="AN59">IFERROR(_xlfn.IFS(AND(E59&gt;100000,I59="Yes", H59&gt;=4), " Employee of Month"),"- ")</f>
        <v xml:space="preserve">- </v>
      </c>
    </row>
    <row r="60" spans="1:40" ht="15.6" x14ac:dyDescent="0.3">
      <c r="A60" t="s">
        <v>38</v>
      </c>
      <c r="B60" t="s">
        <v>39</v>
      </c>
      <c r="C60" t="s">
        <v>4</v>
      </c>
      <c r="D60">
        <v>10172</v>
      </c>
      <c r="E60">
        <v>204000</v>
      </c>
      <c r="F60">
        <v>75</v>
      </c>
      <c r="G60">
        <v>1</v>
      </c>
      <c r="H60">
        <v>3</v>
      </c>
      <c r="I60" t="s">
        <v>12</v>
      </c>
      <c r="J60" t="s">
        <v>13</v>
      </c>
      <c r="K60" t="str">
        <f t="shared" si="3"/>
        <v>High</v>
      </c>
      <c r="L60" t="str">
        <f t="shared" si="19"/>
        <v>Needs Improvement</v>
      </c>
      <c r="M60" t="str">
        <f t="shared" si="20"/>
        <v>Working</v>
      </c>
      <c r="N60" t="str">
        <f t="shared" si="21"/>
        <v>Bonus</v>
      </c>
      <c r="O60" t="str">
        <f t="shared" si="4"/>
        <v>Junior</v>
      </c>
      <c r="P60" t="str">
        <f t="shared" si="5"/>
        <v>Normal</v>
      </c>
      <c r="Q60" t="str">
        <f t="shared" si="6"/>
        <v>Achieved</v>
      </c>
      <c r="R60" t="str">
        <f t="shared" si="7"/>
        <v>Sales Team</v>
      </c>
      <c r="S60" t="str">
        <f t="shared" si="8"/>
        <v>OK</v>
      </c>
      <c r="T60" t="str">
        <f>IF(Employee_Data!F60&lt;85,"Warning","Good")</f>
        <v>Warning</v>
      </c>
      <c r="U60" t="str">
        <f t="shared" si="9"/>
        <v>Good</v>
      </c>
      <c r="V60" t="str">
        <f t="shared" si="10"/>
        <v>Poor</v>
      </c>
      <c r="W60" t="str">
        <f t="shared" si="11"/>
        <v>Good</v>
      </c>
      <c r="X60" t="str">
        <f t="shared" si="12"/>
        <v>Beginner</v>
      </c>
      <c r="Y60" t="str">
        <f t="shared" si="13"/>
        <v>Platinum</v>
      </c>
      <c r="Z60" t="str">
        <f t="shared" si="14"/>
        <v>B</v>
      </c>
      <c r="AA60" t="str">
        <f t="shared" si="15"/>
        <v>Poor</v>
      </c>
      <c r="AB60" t="str">
        <f t="shared" si="16"/>
        <v>Junior</v>
      </c>
      <c r="AC60" t="str">
        <f t="shared" si="17"/>
        <v>Average</v>
      </c>
      <c r="AD60" t="str">
        <f t="shared" si="18"/>
        <v>Top</v>
      </c>
      <c r="AE60" t="str" cm="1">
        <f t="array" ref="AE60">_xlfn.IFS(AND(D60&gt;9000, F60&gt;95), "Eligible Bonus", TRUE, "Not Eligible")</f>
        <v>Not Eligible</v>
      </c>
      <c r="AF60" s="11" t="str" cm="1">
        <f t="array" ref="AF60">IFERROR(_xlfn.IFS(AND(C60="Sales", E60&gt;120000), "Top Sales"),"- ")</f>
        <v>Top Sales</v>
      </c>
      <c r="AG60" s="11" t="str" cm="1">
        <f t="array" ref="AG60">IFERROR(_xlfn.IFS(AND(G60&gt;5, H60&gt;=4), "Promotion"),"- ")</f>
        <v xml:space="preserve">- </v>
      </c>
      <c r="AH60" s="11" t="str" cm="1">
        <f t="array" ref="AH60">IFERROR(_xlfn.IFS(OR(D60&gt;7000, F60&gt;85), "Review Required")," - ")</f>
        <v>Review Required</v>
      </c>
      <c r="AI60" s="11" t="str" cm="1">
        <f t="array" ref="AI60">IFERROR(_xlfn.IFS(OR(J60="Inactive", F60&gt;80), "HR Action")," - ")</f>
        <v xml:space="preserve"> - </v>
      </c>
      <c r="AJ60" s="11" t="str" cm="1">
        <f t="array" ref="AJ60">IFERROR(_xlfn.IFS(D60&gt;=12000,"High",D60&gt;=9000,"Medium"),"Low " )</f>
        <v>Medium</v>
      </c>
      <c r="AK60" t="str" cm="1">
        <f t="array" ref="AK60">IFERROR(_xlfn.IFS(F60&gt;=95,"Excellent",F60&gt;=90,"Good"),"Poor" )</f>
        <v>Poor</v>
      </c>
      <c r="AL60" s="12" t="str" cm="1">
        <f t="array" ref="AL60">IFERROR(_xlfn.IFS(AND(C60="IT", H60=5,F60&gt;=90), "IT Star"), "- ")</f>
        <v xml:space="preserve">- </v>
      </c>
      <c r="AM60" s="11" t="str" cm="1">
        <f t="array" ref="AM60">IFERROR(_xlfn.IFS(OR(C60="Finance",C60="HR"),"Administration")," - ")</f>
        <v xml:space="preserve"> - </v>
      </c>
      <c r="AN60" s="11" t="str" cm="1">
        <f t="array" ref="AN60">IFERROR(_xlfn.IFS(AND(E60&gt;100000,I60="Yes", H60&gt;=4), " Employee of Month"),"- ")</f>
        <v xml:space="preserve">- </v>
      </c>
    </row>
    <row r="61" spans="1:40" ht="15.6" x14ac:dyDescent="0.3">
      <c r="A61" t="s">
        <v>64</v>
      </c>
      <c r="B61" t="s">
        <v>15</v>
      </c>
      <c r="C61" t="s">
        <v>16</v>
      </c>
      <c r="D61">
        <v>10223</v>
      </c>
      <c r="E61">
        <v>121000</v>
      </c>
      <c r="F61">
        <v>76</v>
      </c>
      <c r="G61">
        <v>7</v>
      </c>
      <c r="H61">
        <v>4</v>
      </c>
      <c r="I61" t="s">
        <v>17</v>
      </c>
      <c r="J61" t="s">
        <v>13</v>
      </c>
      <c r="K61" t="str">
        <f t="shared" si="3"/>
        <v>High</v>
      </c>
      <c r="L61" t="str">
        <f t="shared" si="19"/>
        <v>Needs Improvement</v>
      </c>
      <c r="M61" t="str">
        <f t="shared" si="20"/>
        <v>Working</v>
      </c>
      <c r="N61" t="str">
        <f t="shared" si="21"/>
        <v>Bonus</v>
      </c>
      <c r="O61" t="str">
        <f t="shared" si="4"/>
        <v>Senior</v>
      </c>
      <c r="P61" t="str">
        <f t="shared" si="5"/>
        <v>Normal</v>
      </c>
      <c r="Q61" t="str">
        <f t="shared" si="6"/>
        <v>Not Achieved</v>
      </c>
      <c r="R61" t="str">
        <f t="shared" si="7"/>
        <v>Other Team</v>
      </c>
      <c r="S61" t="str">
        <f t="shared" si="8"/>
        <v>OK</v>
      </c>
      <c r="T61" t="str">
        <f>IF(Employee_Data!F61&lt;85,"Warning","Good")</f>
        <v>Warning</v>
      </c>
      <c r="U61" t="str">
        <f t="shared" si="9"/>
        <v>Good</v>
      </c>
      <c r="V61" t="str">
        <f t="shared" si="10"/>
        <v>Poor</v>
      </c>
      <c r="W61" t="str">
        <f t="shared" si="11"/>
        <v>Very Good</v>
      </c>
      <c r="X61" t="str">
        <f t="shared" si="12"/>
        <v>Experienced</v>
      </c>
      <c r="Y61" t="str">
        <f t="shared" si="13"/>
        <v>Gold</v>
      </c>
      <c r="Z61" t="str">
        <f t="shared" si="14"/>
        <v>B</v>
      </c>
      <c r="AA61" t="str">
        <f t="shared" si="15"/>
        <v>Poor</v>
      </c>
      <c r="AB61" t="str">
        <f t="shared" si="16"/>
        <v>Senior</v>
      </c>
      <c r="AC61" t="str">
        <f t="shared" si="17"/>
        <v>Good</v>
      </c>
      <c r="AD61" t="str">
        <f t="shared" si="18"/>
        <v>Best</v>
      </c>
      <c r="AE61" t="str" cm="1">
        <f t="array" ref="AE61">_xlfn.IFS(AND(D61&gt;9000, F61&gt;95), "Eligible Bonus", TRUE, "Not Eligible")</f>
        <v>Not Eligible</v>
      </c>
      <c r="AF61" s="11" t="str" cm="1">
        <f t="array" ref="AF61">IFERROR(_xlfn.IFS(AND(C61="Sales", E61&gt;120000), "Top Sales"),"- ")</f>
        <v xml:space="preserve">- </v>
      </c>
      <c r="AG61" s="11" t="str" cm="1">
        <f t="array" ref="AG61">IFERROR(_xlfn.IFS(AND(G61&gt;5, H61&gt;=4), "Promotion"),"- ")</f>
        <v>Promotion</v>
      </c>
      <c r="AH61" s="11" t="str" cm="1">
        <f t="array" ref="AH61">IFERROR(_xlfn.IFS(OR(D61&gt;7000, F61&gt;85), "Review Required")," - ")</f>
        <v>Review Required</v>
      </c>
      <c r="AI61" s="11" t="str" cm="1">
        <f t="array" ref="AI61">IFERROR(_xlfn.IFS(OR(J61="Inactive", F61&gt;80), "HR Action")," - ")</f>
        <v xml:space="preserve"> - </v>
      </c>
      <c r="AJ61" s="11" t="str" cm="1">
        <f t="array" ref="AJ61">IFERROR(_xlfn.IFS(D61&gt;=12000,"High",D61&gt;=9000,"Medium"),"Low " )</f>
        <v>Medium</v>
      </c>
      <c r="AK61" t="str" cm="1">
        <f t="array" ref="AK61">IFERROR(_xlfn.IFS(F61&gt;=95,"Excellent",F61&gt;=90,"Good"),"Poor" )</f>
        <v>Poor</v>
      </c>
      <c r="AL61" s="12" t="str" cm="1">
        <f t="array" ref="AL61">IFERROR(_xlfn.IFS(AND(C61="IT", H61=5,F61&gt;=90), "IT Star"), "- ")</f>
        <v xml:space="preserve">- </v>
      </c>
      <c r="AM61" s="11" t="str" cm="1">
        <f t="array" ref="AM61">IFERROR(_xlfn.IFS(OR(C61="Finance",C61="HR"),"Administration")," - ")</f>
        <v>Administration</v>
      </c>
      <c r="AN61" s="11" t="str" cm="1">
        <f t="array" ref="AN61">IFERROR(_xlfn.IFS(AND(E61&gt;100000,I61="Yes", H61&gt;=4), " Employee of Month"),"- ")</f>
        <v xml:space="preserve">- </v>
      </c>
    </row>
    <row r="62" spans="1:40" ht="15.6" x14ac:dyDescent="0.3">
      <c r="A62" t="s">
        <v>85</v>
      </c>
      <c r="B62" t="s">
        <v>33</v>
      </c>
      <c r="C62" t="s">
        <v>20</v>
      </c>
      <c r="D62">
        <v>10274</v>
      </c>
      <c r="E62">
        <v>38000</v>
      </c>
      <c r="F62">
        <v>77</v>
      </c>
      <c r="G62">
        <v>1</v>
      </c>
      <c r="H62">
        <v>5</v>
      </c>
      <c r="I62" t="s">
        <v>12</v>
      </c>
      <c r="J62" t="s">
        <v>13</v>
      </c>
      <c r="K62" t="str">
        <f t="shared" si="3"/>
        <v>High</v>
      </c>
      <c r="L62" t="str">
        <f t="shared" si="19"/>
        <v>Needs Improvement</v>
      </c>
      <c r="M62" t="str">
        <f t="shared" si="20"/>
        <v>Working</v>
      </c>
      <c r="N62" t="str">
        <f t="shared" si="21"/>
        <v>No Bonus</v>
      </c>
      <c r="O62" t="str">
        <f t="shared" si="4"/>
        <v>Junior</v>
      </c>
      <c r="P62" t="str">
        <f t="shared" si="5"/>
        <v>Outstanding</v>
      </c>
      <c r="Q62" t="str">
        <f t="shared" si="6"/>
        <v>Achieved</v>
      </c>
      <c r="R62" t="str">
        <f t="shared" si="7"/>
        <v>Other Team</v>
      </c>
      <c r="S62" t="str">
        <f t="shared" si="8"/>
        <v>OK</v>
      </c>
      <c r="T62" t="str">
        <f>IF(Employee_Data!F62&lt;85,"Warning","Good")</f>
        <v>Warning</v>
      </c>
      <c r="U62" t="str">
        <f t="shared" si="9"/>
        <v>Good</v>
      </c>
      <c r="V62" t="str">
        <f t="shared" si="10"/>
        <v>Poor</v>
      </c>
      <c r="W62" t="str">
        <f t="shared" si="11"/>
        <v>Outstanding</v>
      </c>
      <c r="X62" t="str">
        <f t="shared" si="12"/>
        <v>Beginner</v>
      </c>
      <c r="Y62" t="str">
        <f t="shared" si="13"/>
        <v>Silver</v>
      </c>
      <c r="Z62" t="str">
        <f t="shared" si="14"/>
        <v>B</v>
      </c>
      <c r="AA62" t="str">
        <f t="shared" si="15"/>
        <v>Poor</v>
      </c>
      <c r="AB62" t="str">
        <f t="shared" si="16"/>
        <v>Junior</v>
      </c>
      <c r="AC62" t="str">
        <f t="shared" si="17"/>
        <v>Excellent</v>
      </c>
      <c r="AD62" t="str">
        <f t="shared" si="18"/>
        <v>Low</v>
      </c>
      <c r="AE62" t="str" cm="1">
        <f t="array" ref="AE62">_xlfn.IFS(AND(D62&gt;9000, F62&gt;95), "Eligible Bonus", TRUE, "Not Eligible")</f>
        <v>Not Eligible</v>
      </c>
      <c r="AF62" s="11" t="str" cm="1">
        <f t="array" ref="AF62">IFERROR(_xlfn.IFS(AND(C62="Sales", E62&gt;120000), "Top Sales"),"- ")</f>
        <v xml:space="preserve">- </v>
      </c>
      <c r="AG62" s="11" t="str" cm="1">
        <f t="array" ref="AG62">IFERROR(_xlfn.IFS(AND(G62&gt;5, H62&gt;=4), "Promotion"),"- ")</f>
        <v xml:space="preserve">- </v>
      </c>
      <c r="AH62" s="11" t="str" cm="1">
        <f t="array" ref="AH62">IFERROR(_xlfn.IFS(OR(D62&gt;7000, F62&gt;85), "Review Required")," - ")</f>
        <v>Review Required</v>
      </c>
      <c r="AI62" s="11" t="str" cm="1">
        <f t="array" ref="AI62">IFERROR(_xlfn.IFS(OR(J62="Inactive", F62&gt;80), "HR Action")," - ")</f>
        <v xml:space="preserve"> - </v>
      </c>
      <c r="AJ62" s="11" t="str" cm="1">
        <f t="array" ref="AJ62">IFERROR(_xlfn.IFS(D62&gt;=12000,"High",D62&gt;=9000,"Medium"),"Low " )</f>
        <v>Medium</v>
      </c>
      <c r="AK62" t="str" cm="1">
        <f t="array" ref="AK62">IFERROR(_xlfn.IFS(F62&gt;=95,"Excellent",F62&gt;=90,"Good"),"Poor" )</f>
        <v>Poor</v>
      </c>
      <c r="AL62" s="12" t="str" cm="1">
        <f t="array" ref="AL62">IFERROR(_xlfn.IFS(AND(C62="IT", H62=5,F62&gt;=90), "IT Star"), "- ")</f>
        <v xml:space="preserve">- </v>
      </c>
      <c r="AM62" s="11" t="str" cm="1">
        <f t="array" ref="AM62">IFERROR(_xlfn.IFS(OR(C62="Finance",C62="HR"),"Administration")," - ")</f>
        <v xml:space="preserve"> - </v>
      </c>
      <c r="AN62" s="11" t="str" cm="1">
        <f t="array" ref="AN62">IFERROR(_xlfn.IFS(AND(E62&gt;100000,I62="Yes", H62&gt;=4), " Employee of Month"),"- ")</f>
        <v xml:space="preserve">- </v>
      </c>
    </row>
    <row r="63" spans="1:40" ht="15.6" x14ac:dyDescent="0.3">
      <c r="A63" t="s">
        <v>106</v>
      </c>
      <c r="B63" t="s">
        <v>45</v>
      </c>
      <c r="C63" t="s">
        <v>23</v>
      </c>
      <c r="D63">
        <v>10325</v>
      </c>
      <c r="E63">
        <v>175000</v>
      </c>
      <c r="F63">
        <v>78</v>
      </c>
      <c r="G63">
        <v>7</v>
      </c>
      <c r="H63">
        <v>1</v>
      </c>
      <c r="I63" t="s">
        <v>17</v>
      </c>
      <c r="J63" t="s">
        <v>13</v>
      </c>
      <c r="K63" t="str">
        <f t="shared" si="3"/>
        <v>High</v>
      </c>
      <c r="L63" t="str">
        <f t="shared" si="19"/>
        <v>Needs Improvement</v>
      </c>
      <c r="M63" t="str">
        <f t="shared" si="20"/>
        <v>Working</v>
      </c>
      <c r="N63" t="str">
        <f t="shared" si="21"/>
        <v>Bonus</v>
      </c>
      <c r="O63" t="str">
        <f t="shared" si="4"/>
        <v>Senior</v>
      </c>
      <c r="P63" t="str">
        <f t="shared" si="5"/>
        <v>Normal</v>
      </c>
      <c r="Q63" t="str">
        <f t="shared" si="6"/>
        <v>Not Achieved</v>
      </c>
      <c r="R63" t="str">
        <f t="shared" si="7"/>
        <v>Other Team</v>
      </c>
      <c r="S63" t="str">
        <f t="shared" si="8"/>
        <v>OK</v>
      </c>
      <c r="T63" t="str">
        <f>IF(Employee_Data!F63&lt;85,"Warning","Good")</f>
        <v>Warning</v>
      </c>
      <c r="U63" t="str">
        <f t="shared" si="9"/>
        <v>Good</v>
      </c>
      <c r="V63" t="str">
        <f t="shared" si="10"/>
        <v>Poor</v>
      </c>
      <c r="W63" t="str">
        <f t="shared" si="11"/>
        <v>Needs Improvement</v>
      </c>
      <c r="X63" t="str">
        <f t="shared" si="12"/>
        <v>Experienced</v>
      </c>
      <c r="Y63" t="str">
        <f t="shared" si="13"/>
        <v>Platinum</v>
      </c>
      <c r="Z63" t="str">
        <f t="shared" si="14"/>
        <v>B</v>
      </c>
      <c r="AA63" t="str">
        <f t="shared" si="15"/>
        <v>Poor</v>
      </c>
      <c r="AB63" t="str">
        <f t="shared" si="16"/>
        <v>Senior</v>
      </c>
      <c r="AC63" t="str">
        <f t="shared" si="17"/>
        <v>Poor</v>
      </c>
      <c r="AD63" t="str">
        <f t="shared" si="18"/>
        <v>Best</v>
      </c>
      <c r="AE63" t="str" cm="1">
        <f t="array" ref="AE63">_xlfn.IFS(AND(D63&gt;9000, F63&gt;95), "Eligible Bonus", TRUE, "Not Eligible")</f>
        <v>Not Eligible</v>
      </c>
      <c r="AF63" s="11" t="str" cm="1">
        <f t="array" ref="AF63">IFERROR(_xlfn.IFS(AND(C63="Sales", E63&gt;120000), "Top Sales"),"- ")</f>
        <v xml:space="preserve">- </v>
      </c>
      <c r="AG63" s="11" t="str" cm="1">
        <f t="array" ref="AG63">IFERROR(_xlfn.IFS(AND(G63&gt;5, H63&gt;=4), "Promotion"),"- ")</f>
        <v xml:space="preserve">- </v>
      </c>
      <c r="AH63" s="11" t="str" cm="1">
        <f t="array" ref="AH63">IFERROR(_xlfn.IFS(OR(D63&gt;7000, F63&gt;85), "Review Required")," - ")</f>
        <v>Review Required</v>
      </c>
      <c r="AI63" s="11" t="str" cm="1">
        <f t="array" ref="AI63">IFERROR(_xlfn.IFS(OR(J63="Inactive", F63&gt;80), "HR Action")," - ")</f>
        <v xml:space="preserve"> - </v>
      </c>
      <c r="AJ63" s="11" t="str" cm="1">
        <f t="array" ref="AJ63">IFERROR(_xlfn.IFS(D63&gt;=12000,"High",D63&gt;=9000,"Medium"),"Low " )</f>
        <v>Medium</v>
      </c>
      <c r="AK63" t="str" cm="1">
        <f t="array" ref="AK63">IFERROR(_xlfn.IFS(F63&gt;=95,"Excellent",F63&gt;=90,"Good"),"Poor" )</f>
        <v>Poor</v>
      </c>
      <c r="AL63" s="12" t="str" cm="1">
        <f t="array" ref="AL63">IFERROR(_xlfn.IFS(AND(C63="IT", H63=5,F63&gt;=90), "IT Star"), "- ")</f>
        <v xml:space="preserve">- </v>
      </c>
      <c r="AM63" s="11" t="str" cm="1">
        <f t="array" ref="AM63">IFERROR(_xlfn.IFS(OR(C63="Finance",C63="HR"),"Administration")," - ")</f>
        <v>Administration</v>
      </c>
      <c r="AN63" s="11" t="str" cm="1">
        <f t="array" ref="AN63">IFERROR(_xlfn.IFS(AND(E63&gt;100000,I63="Yes", H63&gt;=4), " Employee of Month"),"- ")</f>
        <v xml:space="preserve">- </v>
      </c>
    </row>
    <row r="64" spans="1:40" ht="15.6" x14ac:dyDescent="0.3">
      <c r="A64" t="s">
        <v>127</v>
      </c>
      <c r="B64" t="s">
        <v>25</v>
      </c>
      <c r="C64" t="s">
        <v>26</v>
      </c>
      <c r="D64">
        <v>10376</v>
      </c>
      <c r="E64">
        <v>92000</v>
      </c>
      <c r="F64">
        <v>79</v>
      </c>
      <c r="G64">
        <v>1</v>
      </c>
      <c r="H64">
        <v>2</v>
      </c>
      <c r="I64" t="s">
        <v>12</v>
      </c>
      <c r="J64" t="s">
        <v>13</v>
      </c>
      <c r="K64" t="str">
        <f t="shared" si="3"/>
        <v>High</v>
      </c>
      <c r="L64" t="str">
        <f t="shared" si="19"/>
        <v>Needs Improvement</v>
      </c>
      <c r="M64" t="str">
        <f t="shared" si="20"/>
        <v>Working</v>
      </c>
      <c r="N64" t="str">
        <f t="shared" si="21"/>
        <v>No Bonus</v>
      </c>
      <c r="O64" t="str">
        <f t="shared" si="4"/>
        <v>Junior</v>
      </c>
      <c r="P64" t="str">
        <f t="shared" si="5"/>
        <v>Normal</v>
      </c>
      <c r="Q64" t="str">
        <f t="shared" si="6"/>
        <v>Achieved</v>
      </c>
      <c r="R64" t="str">
        <f t="shared" si="7"/>
        <v>Other Team</v>
      </c>
      <c r="S64" t="str">
        <f t="shared" si="8"/>
        <v>OK</v>
      </c>
      <c r="T64" t="str">
        <f>IF(Employee_Data!F64&lt;85,"Warning","Good")</f>
        <v>Warning</v>
      </c>
      <c r="U64" t="str">
        <f t="shared" si="9"/>
        <v>Good</v>
      </c>
      <c r="V64" t="str">
        <f t="shared" si="10"/>
        <v>Poor</v>
      </c>
      <c r="W64" t="str">
        <f t="shared" si="11"/>
        <v>Needs Improvement</v>
      </c>
      <c r="X64" t="str">
        <f t="shared" si="12"/>
        <v>Beginner</v>
      </c>
      <c r="Y64" t="str">
        <f t="shared" si="13"/>
        <v>Silver</v>
      </c>
      <c r="Z64" t="str">
        <f t="shared" si="14"/>
        <v>B</v>
      </c>
      <c r="AA64" t="str">
        <f t="shared" si="15"/>
        <v>Poor</v>
      </c>
      <c r="AB64" t="str">
        <f t="shared" si="16"/>
        <v>Junior</v>
      </c>
      <c r="AC64" t="str">
        <f t="shared" si="17"/>
        <v>Average</v>
      </c>
      <c r="AD64" t="str">
        <f t="shared" si="18"/>
        <v>Good</v>
      </c>
      <c r="AE64" t="str" cm="1">
        <f t="array" ref="AE64">_xlfn.IFS(AND(D64&gt;9000, F64&gt;95), "Eligible Bonus", TRUE, "Not Eligible")</f>
        <v>Not Eligible</v>
      </c>
      <c r="AF64" s="11" t="str" cm="1">
        <f t="array" ref="AF64">IFERROR(_xlfn.IFS(AND(C64="Sales", E64&gt;120000), "Top Sales"),"- ")</f>
        <v xml:space="preserve">- </v>
      </c>
      <c r="AG64" s="11" t="str" cm="1">
        <f t="array" ref="AG64">IFERROR(_xlfn.IFS(AND(G64&gt;5, H64&gt;=4), "Promotion"),"- ")</f>
        <v xml:space="preserve">- </v>
      </c>
      <c r="AH64" s="11" t="str" cm="1">
        <f t="array" ref="AH64">IFERROR(_xlfn.IFS(OR(D64&gt;7000, F64&gt;85), "Review Required")," - ")</f>
        <v>Review Required</v>
      </c>
      <c r="AI64" s="11" t="str" cm="1">
        <f t="array" ref="AI64">IFERROR(_xlfn.IFS(OR(J64="Inactive", F64&gt;80), "HR Action")," - ")</f>
        <v xml:space="preserve"> - </v>
      </c>
      <c r="AJ64" s="11" t="str" cm="1">
        <f t="array" ref="AJ64">IFERROR(_xlfn.IFS(D64&gt;=12000,"High",D64&gt;=9000,"Medium"),"Low " )</f>
        <v>Medium</v>
      </c>
      <c r="AK64" t="str" cm="1">
        <f t="array" ref="AK64">IFERROR(_xlfn.IFS(F64&gt;=95,"Excellent",F64&gt;=90,"Good"),"Poor" )</f>
        <v>Poor</v>
      </c>
      <c r="AL64" s="12" t="str" cm="1">
        <f t="array" ref="AL64">IFERROR(_xlfn.IFS(AND(C64="IT", H64=5,F64&gt;=90), "IT Star"), "- ")</f>
        <v xml:space="preserve">- </v>
      </c>
      <c r="AM64" s="11" t="str" cm="1">
        <f t="array" ref="AM64">IFERROR(_xlfn.IFS(OR(C64="Finance",C64="HR"),"Administration")," - ")</f>
        <v xml:space="preserve"> - </v>
      </c>
      <c r="AN64" s="11" t="str" cm="1">
        <f t="array" ref="AN64">IFERROR(_xlfn.IFS(AND(E64&gt;100000,I64="Yes", H64&gt;=4), " Employee of Month"),"- ")</f>
        <v xml:space="preserve">- </v>
      </c>
    </row>
    <row r="65" spans="1:40" ht="15.6" x14ac:dyDescent="0.3">
      <c r="A65" t="s">
        <v>40</v>
      </c>
      <c r="B65" t="s">
        <v>41</v>
      </c>
      <c r="C65" t="s">
        <v>16</v>
      </c>
      <c r="D65">
        <v>10603</v>
      </c>
      <c r="E65">
        <v>1000</v>
      </c>
      <c r="F65">
        <v>78</v>
      </c>
      <c r="G65">
        <v>3</v>
      </c>
      <c r="H65">
        <v>4</v>
      </c>
      <c r="I65" t="s">
        <v>17</v>
      </c>
      <c r="J65" t="s">
        <v>13</v>
      </c>
      <c r="K65" t="str">
        <f t="shared" si="3"/>
        <v>High</v>
      </c>
      <c r="L65" t="str">
        <f t="shared" si="19"/>
        <v>Needs Improvement</v>
      </c>
      <c r="M65" t="str">
        <f t="shared" si="20"/>
        <v>Working</v>
      </c>
      <c r="N65" t="str">
        <f t="shared" si="21"/>
        <v>No Bonus</v>
      </c>
      <c r="O65" t="str">
        <f t="shared" si="4"/>
        <v>Junior</v>
      </c>
      <c r="P65" t="str">
        <f t="shared" si="5"/>
        <v>Normal</v>
      </c>
      <c r="Q65" t="str">
        <f t="shared" si="6"/>
        <v>Not Achieved</v>
      </c>
      <c r="R65" t="str">
        <f t="shared" si="7"/>
        <v>Other Team</v>
      </c>
      <c r="S65" t="str">
        <f t="shared" si="8"/>
        <v>OK</v>
      </c>
      <c r="T65" t="str">
        <f>IF(Employee_Data!F65&lt;85,"Warning","Good")</f>
        <v>Warning</v>
      </c>
      <c r="U65" t="str">
        <f t="shared" si="9"/>
        <v>Good</v>
      </c>
      <c r="V65" t="str">
        <f t="shared" si="10"/>
        <v>Poor</v>
      </c>
      <c r="W65" t="str">
        <f t="shared" si="11"/>
        <v>Very Good</v>
      </c>
      <c r="X65" t="str">
        <f t="shared" si="12"/>
        <v>Beginner</v>
      </c>
      <c r="Y65" t="str">
        <f t="shared" si="13"/>
        <v>Silver</v>
      </c>
      <c r="Z65" t="str">
        <f t="shared" si="14"/>
        <v>B</v>
      </c>
      <c r="AA65" t="str">
        <f t="shared" si="15"/>
        <v>Poor</v>
      </c>
      <c r="AB65" t="str">
        <f t="shared" si="16"/>
        <v>Mid</v>
      </c>
      <c r="AC65" t="str">
        <f t="shared" si="17"/>
        <v>Good</v>
      </c>
      <c r="AD65" t="str">
        <f t="shared" si="18"/>
        <v>Low</v>
      </c>
      <c r="AE65" t="str" cm="1">
        <f t="array" ref="AE65">_xlfn.IFS(AND(D65&gt;9000, F65&gt;95), "Eligible Bonus", TRUE, "Not Eligible")</f>
        <v>Not Eligible</v>
      </c>
      <c r="AF65" s="11" t="str" cm="1">
        <f t="array" ref="AF65">IFERROR(_xlfn.IFS(AND(C65="Sales", E65&gt;120000), "Top Sales"),"- ")</f>
        <v xml:space="preserve">- </v>
      </c>
      <c r="AG65" s="11" t="str" cm="1">
        <f t="array" ref="AG65">IFERROR(_xlfn.IFS(AND(G65&gt;5, H65&gt;=4), "Promotion"),"- ")</f>
        <v xml:space="preserve">- </v>
      </c>
      <c r="AH65" s="11" t="str" cm="1">
        <f t="array" ref="AH65">IFERROR(_xlfn.IFS(OR(D65&gt;7000, F65&gt;85), "Review Required")," - ")</f>
        <v>Review Required</v>
      </c>
      <c r="AI65" s="11" t="str" cm="1">
        <f t="array" ref="AI65">IFERROR(_xlfn.IFS(OR(J65="Inactive", F65&gt;80), "HR Action")," - ")</f>
        <v xml:space="preserve"> - </v>
      </c>
      <c r="AJ65" s="11" t="str" cm="1">
        <f t="array" ref="AJ65">IFERROR(_xlfn.IFS(D65&gt;=12000,"High",D65&gt;=9000,"Medium"),"Low " )</f>
        <v>Medium</v>
      </c>
      <c r="AK65" t="str" cm="1">
        <f t="array" ref="AK65">IFERROR(_xlfn.IFS(F65&gt;=95,"Excellent",F65&gt;=90,"Good"),"Poor" )</f>
        <v>Poor</v>
      </c>
      <c r="AL65" s="12" t="str" cm="1">
        <f t="array" ref="AL65">IFERROR(_xlfn.IFS(AND(C65="IT", H65=5,F65&gt;=90), "IT Star"), "- ")</f>
        <v xml:space="preserve">- </v>
      </c>
      <c r="AM65" s="11" t="str" cm="1">
        <f t="array" ref="AM65">IFERROR(_xlfn.IFS(OR(C65="Finance",C65="HR"),"Administration")," - ")</f>
        <v>Administration</v>
      </c>
      <c r="AN65" s="11" t="str" cm="1">
        <f t="array" ref="AN65">IFERROR(_xlfn.IFS(AND(E65&gt;100000,I65="Yes", H65&gt;=4), " Employee of Month"),"- ")</f>
        <v xml:space="preserve">- </v>
      </c>
    </row>
    <row r="66" spans="1:40" ht="15.6" x14ac:dyDescent="0.3">
      <c r="A66" t="s">
        <v>65</v>
      </c>
      <c r="B66" t="s">
        <v>19</v>
      </c>
      <c r="C66" t="s">
        <v>20</v>
      </c>
      <c r="D66">
        <v>10654</v>
      </c>
      <c r="E66">
        <v>138000</v>
      </c>
      <c r="F66">
        <v>79</v>
      </c>
      <c r="G66">
        <v>9</v>
      </c>
      <c r="H66">
        <v>5</v>
      </c>
      <c r="I66" t="s">
        <v>12</v>
      </c>
      <c r="J66" t="s">
        <v>13</v>
      </c>
      <c r="K66" t="str">
        <f t="shared" si="3"/>
        <v>High</v>
      </c>
      <c r="L66" t="str">
        <f t="shared" ref="L66:L101" si="22">IF(F66&gt;=95,"Excellent","Needs Improvement")</f>
        <v>Needs Improvement</v>
      </c>
      <c r="M66" t="str">
        <f t="shared" ref="M66:M101" si="23">IF(J66="Active","Working","Not Working")</f>
        <v>Working</v>
      </c>
      <c r="N66" t="str">
        <f t="shared" ref="N66:N101" si="24">IF(E66&gt;100000,"Bonus","No Bonus")</f>
        <v>Bonus</v>
      </c>
      <c r="O66" t="str">
        <f t="shared" si="4"/>
        <v>Senior</v>
      </c>
      <c r="P66" t="str">
        <f t="shared" si="5"/>
        <v>Outstanding</v>
      </c>
      <c r="Q66" t="str">
        <f t="shared" si="6"/>
        <v>Achieved</v>
      </c>
      <c r="R66" t="str">
        <f t="shared" si="7"/>
        <v>Other Team</v>
      </c>
      <c r="S66" t="str">
        <f t="shared" si="8"/>
        <v>OK</v>
      </c>
      <c r="T66" t="str">
        <f>IF(Employee_Data!F66&lt;85,"Warning","Good")</f>
        <v>Warning</v>
      </c>
      <c r="U66" t="str">
        <f t="shared" si="9"/>
        <v>Good</v>
      </c>
      <c r="V66" t="str">
        <f t="shared" si="10"/>
        <v>Poor</v>
      </c>
      <c r="W66" t="str">
        <f t="shared" si="11"/>
        <v>Outstanding</v>
      </c>
      <c r="X66" t="str">
        <f t="shared" si="12"/>
        <v>Experienced</v>
      </c>
      <c r="Y66" t="str">
        <f t="shared" si="13"/>
        <v>Gold</v>
      </c>
      <c r="Z66" t="str">
        <f t="shared" si="14"/>
        <v>B</v>
      </c>
      <c r="AA66" t="str">
        <f t="shared" si="15"/>
        <v>Poor</v>
      </c>
      <c r="AB66" t="str">
        <f t="shared" si="16"/>
        <v>Expert</v>
      </c>
      <c r="AC66" t="str">
        <f t="shared" si="17"/>
        <v>Excellent</v>
      </c>
      <c r="AD66" t="str">
        <f t="shared" si="18"/>
        <v>Best</v>
      </c>
      <c r="AE66" t="str" cm="1">
        <f t="array" ref="AE66">_xlfn.IFS(AND(D66&gt;9000, F66&gt;95), "Eligible Bonus", TRUE, "Not Eligible")</f>
        <v>Not Eligible</v>
      </c>
      <c r="AF66" s="11" t="str" cm="1">
        <f t="array" ref="AF66">IFERROR(_xlfn.IFS(AND(C66="Sales", E66&gt;120000), "Top Sales"),"- ")</f>
        <v xml:space="preserve">- </v>
      </c>
      <c r="AG66" s="11" t="str" cm="1">
        <f t="array" ref="AG66">IFERROR(_xlfn.IFS(AND(G66&gt;5, H66&gt;=4), "Promotion"),"- ")</f>
        <v>Promotion</v>
      </c>
      <c r="AH66" s="11" t="str" cm="1">
        <f t="array" ref="AH66">IFERROR(_xlfn.IFS(OR(D66&gt;7000, F66&gt;85), "Review Required")," - ")</f>
        <v>Review Required</v>
      </c>
      <c r="AI66" s="11" t="str" cm="1">
        <f t="array" ref="AI66">IFERROR(_xlfn.IFS(OR(J66="Inactive", F66&gt;80), "HR Action")," - ")</f>
        <v xml:space="preserve"> - </v>
      </c>
      <c r="AJ66" s="11" t="str" cm="1">
        <f t="array" ref="AJ66">IFERROR(_xlfn.IFS(D66&gt;=12000,"High",D66&gt;=9000,"Medium"),"Low " )</f>
        <v>Medium</v>
      </c>
      <c r="AK66" t="str" cm="1">
        <f t="array" ref="AK66">IFERROR(_xlfn.IFS(F66&gt;=95,"Excellent",F66&gt;=90,"Good"),"Poor" )</f>
        <v>Poor</v>
      </c>
      <c r="AL66" s="12" t="str" cm="1">
        <f t="array" ref="AL66">IFERROR(_xlfn.IFS(AND(C66="IT", H66=5,F66&gt;=90), "IT Star"), "- ")</f>
        <v xml:space="preserve">- </v>
      </c>
      <c r="AM66" s="11" t="str" cm="1">
        <f t="array" ref="AM66">IFERROR(_xlfn.IFS(OR(C66="Finance",C66="HR"),"Administration")," - ")</f>
        <v xml:space="preserve"> - </v>
      </c>
      <c r="AN66" s="11" t="str" cm="1">
        <f t="array" ref="AN66">IFERROR(_xlfn.IFS(AND(E66&gt;100000,I66="Yes", H66&gt;=4), " Employee of Month"),"- ")</f>
        <v xml:space="preserve"> Employee of Month</v>
      </c>
    </row>
    <row r="67" spans="1:40" ht="15.6" x14ac:dyDescent="0.3">
      <c r="A67" t="s">
        <v>86</v>
      </c>
      <c r="B67" t="s">
        <v>35</v>
      </c>
      <c r="C67" t="s">
        <v>23</v>
      </c>
      <c r="D67">
        <v>10705</v>
      </c>
      <c r="E67">
        <v>55000</v>
      </c>
      <c r="F67">
        <v>80</v>
      </c>
      <c r="G67">
        <v>3</v>
      </c>
      <c r="H67">
        <v>1</v>
      </c>
      <c r="I67" t="s">
        <v>17</v>
      </c>
      <c r="J67" t="s">
        <v>13</v>
      </c>
      <c r="K67" t="str">
        <f t="shared" ref="K67:K101" si="25">IF(D67&gt;8000,"High","Low")</f>
        <v>High</v>
      </c>
      <c r="L67" t="str">
        <f t="shared" si="22"/>
        <v>Needs Improvement</v>
      </c>
      <c r="M67" t="str">
        <f t="shared" si="23"/>
        <v>Working</v>
      </c>
      <c r="N67" t="str">
        <f t="shared" si="24"/>
        <v>No Bonus</v>
      </c>
      <c r="O67" t="str">
        <f t="shared" ref="O67:O101" si="26">IF(G67&gt;=5,"Senior","Junior")</f>
        <v>Junior</v>
      </c>
      <c r="P67" t="str">
        <f t="shared" ref="P67:P101" si="27">IF(H67=5,"Outstanding","Normal")</f>
        <v>Normal</v>
      </c>
      <c r="Q67" t="str">
        <f t="shared" ref="Q67:Q101" si="28">IF(I67="Yes","Achieved","Not Achieved")</f>
        <v>Not Achieved</v>
      </c>
      <c r="R67" t="str">
        <f t="shared" ref="R67:R101" si="29">IF(C67="Sales","Sales Team","Other Team")</f>
        <v>Other Team</v>
      </c>
      <c r="S67" t="str">
        <f t="shared" ref="S67:S101" si="30">IF(D67&lt;7000,"Increase Needed","OK")</f>
        <v>OK</v>
      </c>
      <c r="T67" t="str">
        <f>IF(Employee_Data!F67&lt;85,"Warning","Good")</f>
        <v>Warning</v>
      </c>
      <c r="U67" t="str">
        <f t="shared" ref="U67:U101" si="31">IF(D67&gt;=12000,"Excellent",IF(D67&gt;=9000,"Good","Average"))</f>
        <v>Good</v>
      </c>
      <c r="V67" t="str">
        <f t="shared" ref="V67:V101" si="32">IF(F67&gt;=95,"Excellent",IF(F67&gt;=90,"Good","Poor"))</f>
        <v>Poor</v>
      </c>
      <c r="W67" t="str">
        <f t="shared" ref="W67:W101" si="33">IF(H67=5,"Outstanding",IF(H67=4,"Very Good",IF(H67=3,"Good","Needs Improvement")))</f>
        <v>Needs Improvement</v>
      </c>
      <c r="X67" t="str">
        <f t="shared" ref="X67:X101" si="34">IF(G67&gt;=10,"Exper",IF(G67&gt;=5,"Experienced","Beginner"))</f>
        <v>Beginner</v>
      </c>
      <c r="Y67" t="str">
        <f t="shared" ref="Y67:Y101" si="35">IF(E67&gt;=150000,"Platinum",IF(E67&gt;=100000,"Gold","Silver"))</f>
        <v>Silver</v>
      </c>
      <c r="Z67" t="str">
        <f t="shared" ref="Z67:Z101" si="36">IF(D67&gt;=13000,"A",IF(D67&gt;=10000,"B",IF(D67&gt;=7000,"C","D")))</f>
        <v>B</v>
      </c>
      <c r="AA67" t="str">
        <f t="shared" ref="AA67:AA101" si="37">IF(F67&gt;=95,"Perfect",IF(F67&gt;=90,"Good",IF(F67&gt;=80,"Fair","Poor")))</f>
        <v>Fair</v>
      </c>
      <c r="AB67" t="str">
        <f t="shared" ref="AB67:AB101" si="38">IF(G67&gt;=8,"Expert",IF(G67&gt;=5,"Senior",IF(G67&gt;=2,"Mid","Junior")))</f>
        <v>Mid</v>
      </c>
      <c r="AC67" t="str">
        <f t="shared" ref="AC67:AC101" si="39">IF(H67&gt;=5,"Excellent",IF(H67&gt;=4,"Good",IF(H67&gt;=2,"Average","Poor")))</f>
        <v>Poor</v>
      </c>
      <c r="AD67" t="str">
        <f t="shared" ref="AD67:AD101" si="40">IF(E67&gt;=180000,"Top",IF(E67&gt;=120000,"Best",IF(E67&gt;=80000,"Good","Low")))</f>
        <v>Low</v>
      </c>
      <c r="AE67" t="str" cm="1">
        <f t="array" ref="AE67">_xlfn.IFS(AND(D67&gt;9000, F67&gt;95), "Eligible Bonus", TRUE, "Not Eligible")</f>
        <v>Not Eligible</v>
      </c>
      <c r="AF67" s="11" t="str" cm="1">
        <f t="array" ref="AF67">IFERROR(_xlfn.IFS(AND(C67="Sales", E67&gt;120000), "Top Sales"),"- ")</f>
        <v xml:space="preserve">- </v>
      </c>
      <c r="AG67" s="11" t="str" cm="1">
        <f t="array" ref="AG67">IFERROR(_xlfn.IFS(AND(G67&gt;5, H67&gt;=4), "Promotion"),"- ")</f>
        <v xml:space="preserve">- </v>
      </c>
      <c r="AH67" s="11" t="str" cm="1">
        <f t="array" ref="AH67">IFERROR(_xlfn.IFS(OR(D67&gt;7000, F67&gt;85), "Review Required")," - ")</f>
        <v>Review Required</v>
      </c>
      <c r="AI67" s="11" t="str" cm="1">
        <f t="array" ref="AI67">IFERROR(_xlfn.IFS(OR(J67="Inactive", F67&gt;80), "HR Action")," - ")</f>
        <v xml:space="preserve"> - </v>
      </c>
      <c r="AJ67" s="11" t="str" cm="1">
        <f t="array" ref="AJ67">IFERROR(_xlfn.IFS(D67&gt;=12000,"High",D67&gt;=9000,"Medium"),"Low " )</f>
        <v>Medium</v>
      </c>
      <c r="AK67" t="str" cm="1">
        <f t="array" ref="AK67">IFERROR(_xlfn.IFS(F67&gt;=95,"Excellent",F67&gt;=90,"Good"),"Poor" )</f>
        <v>Poor</v>
      </c>
      <c r="AL67" s="12" t="str" cm="1">
        <f t="array" ref="AL67">IFERROR(_xlfn.IFS(AND(C67="IT", H67=5,F67&gt;=90), "IT Star"), "- ")</f>
        <v xml:space="preserve">- </v>
      </c>
      <c r="AM67" s="11" t="str" cm="1">
        <f t="array" ref="AM67">IFERROR(_xlfn.IFS(OR(C67="Finance",C67="HR"),"Administration")," - ")</f>
        <v>Administration</v>
      </c>
      <c r="AN67" s="11" t="str" cm="1">
        <f t="array" ref="AN67">IFERROR(_xlfn.IFS(AND(E67&gt;100000,I67="Yes", H67&gt;=4), " Employee of Month"),"- ")</f>
        <v xml:space="preserve">- </v>
      </c>
    </row>
    <row r="68" spans="1:40" ht="15.6" x14ac:dyDescent="0.3">
      <c r="A68" t="s">
        <v>107</v>
      </c>
      <c r="B68" t="s">
        <v>47</v>
      </c>
      <c r="C68" t="s">
        <v>26</v>
      </c>
      <c r="D68">
        <v>10756</v>
      </c>
      <c r="E68">
        <v>192000</v>
      </c>
      <c r="F68">
        <v>81</v>
      </c>
      <c r="G68">
        <v>9</v>
      </c>
      <c r="H68">
        <v>2</v>
      </c>
      <c r="I68" t="s">
        <v>12</v>
      </c>
      <c r="J68" t="s">
        <v>13</v>
      </c>
      <c r="K68" t="str">
        <f t="shared" si="25"/>
        <v>High</v>
      </c>
      <c r="L68" t="str">
        <f t="shared" si="22"/>
        <v>Needs Improvement</v>
      </c>
      <c r="M68" t="str">
        <f t="shared" si="23"/>
        <v>Working</v>
      </c>
      <c r="N68" t="str">
        <f t="shared" si="24"/>
        <v>Bonus</v>
      </c>
      <c r="O68" t="str">
        <f t="shared" si="26"/>
        <v>Senior</v>
      </c>
      <c r="P68" t="str">
        <f t="shared" si="27"/>
        <v>Normal</v>
      </c>
      <c r="Q68" t="str">
        <f t="shared" si="28"/>
        <v>Achieved</v>
      </c>
      <c r="R68" t="str">
        <f t="shared" si="29"/>
        <v>Other Team</v>
      </c>
      <c r="S68" t="str">
        <f t="shared" si="30"/>
        <v>OK</v>
      </c>
      <c r="T68" t="str">
        <f>IF(Employee_Data!F68&lt;85,"Warning","Good")</f>
        <v>Warning</v>
      </c>
      <c r="U68" t="str">
        <f t="shared" si="31"/>
        <v>Good</v>
      </c>
      <c r="V68" t="str">
        <f t="shared" si="32"/>
        <v>Poor</v>
      </c>
      <c r="W68" t="str">
        <f t="shared" si="33"/>
        <v>Needs Improvement</v>
      </c>
      <c r="X68" t="str">
        <f t="shared" si="34"/>
        <v>Experienced</v>
      </c>
      <c r="Y68" t="str">
        <f t="shared" si="35"/>
        <v>Platinum</v>
      </c>
      <c r="Z68" t="str">
        <f t="shared" si="36"/>
        <v>B</v>
      </c>
      <c r="AA68" t="str">
        <f t="shared" si="37"/>
        <v>Fair</v>
      </c>
      <c r="AB68" t="str">
        <f t="shared" si="38"/>
        <v>Expert</v>
      </c>
      <c r="AC68" t="str">
        <f t="shared" si="39"/>
        <v>Average</v>
      </c>
      <c r="AD68" t="str">
        <f t="shared" si="40"/>
        <v>Top</v>
      </c>
      <c r="AE68" t="str" cm="1">
        <f t="array" ref="AE68">_xlfn.IFS(AND(D68&gt;9000, F68&gt;95), "Eligible Bonus", TRUE, "Not Eligible")</f>
        <v>Not Eligible</v>
      </c>
      <c r="AF68" s="11" t="str" cm="1">
        <f t="array" ref="AF68">IFERROR(_xlfn.IFS(AND(C68="Sales", E68&gt;120000), "Top Sales"),"- ")</f>
        <v xml:space="preserve">- </v>
      </c>
      <c r="AG68" s="11" t="str" cm="1">
        <f t="array" ref="AG68">IFERROR(_xlfn.IFS(AND(G68&gt;5, H68&gt;=4), "Promotion"),"- ")</f>
        <v xml:space="preserve">- </v>
      </c>
      <c r="AH68" s="11" t="str" cm="1">
        <f t="array" ref="AH68">IFERROR(_xlfn.IFS(OR(D68&gt;7000, F68&gt;85), "Review Required")," - ")</f>
        <v>Review Required</v>
      </c>
      <c r="AI68" s="11" t="str" cm="1">
        <f t="array" ref="AI68">IFERROR(_xlfn.IFS(OR(J68="Inactive", F68&gt;80), "HR Action")," - ")</f>
        <v>HR Action</v>
      </c>
      <c r="AJ68" s="11" t="str" cm="1">
        <f t="array" ref="AJ68">IFERROR(_xlfn.IFS(D68&gt;=12000,"High",D68&gt;=9000,"Medium"),"Low " )</f>
        <v>Medium</v>
      </c>
      <c r="AK68" t="str" cm="1">
        <f t="array" ref="AK68">IFERROR(_xlfn.IFS(F68&gt;=95,"Excellent",F68&gt;=90,"Good"),"Poor" )</f>
        <v>Poor</v>
      </c>
      <c r="AL68" s="12" t="str" cm="1">
        <f t="array" ref="AL68">IFERROR(_xlfn.IFS(AND(C68="IT", H68=5,F68&gt;=90), "IT Star"), "- ")</f>
        <v xml:space="preserve">- </v>
      </c>
      <c r="AM68" s="11" t="str" cm="1">
        <f t="array" ref="AM68">IFERROR(_xlfn.IFS(OR(C68="Finance",C68="HR"),"Administration")," - ")</f>
        <v xml:space="preserve"> - </v>
      </c>
      <c r="AN68" s="11" t="str" cm="1">
        <f t="array" ref="AN68">IFERROR(_xlfn.IFS(AND(E68&gt;100000,I68="Yes", H68&gt;=4), " Employee of Month"),"- ")</f>
        <v xml:space="preserve">- </v>
      </c>
    </row>
    <row r="69" spans="1:40" ht="15.6" x14ac:dyDescent="0.3">
      <c r="A69" t="s">
        <v>128</v>
      </c>
      <c r="B69" t="s">
        <v>28</v>
      </c>
      <c r="C69" t="s">
        <v>4</v>
      </c>
      <c r="D69">
        <v>10807</v>
      </c>
      <c r="E69">
        <v>109000</v>
      </c>
      <c r="F69">
        <v>82</v>
      </c>
      <c r="G69">
        <v>3</v>
      </c>
      <c r="H69">
        <v>3</v>
      </c>
      <c r="I69" t="s">
        <v>17</v>
      </c>
      <c r="J69" t="s">
        <v>13</v>
      </c>
      <c r="K69" t="str">
        <f t="shared" si="25"/>
        <v>High</v>
      </c>
      <c r="L69" t="str">
        <f t="shared" si="22"/>
        <v>Needs Improvement</v>
      </c>
      <c r="M69" t="str">
        <f t="shared" si="23"/>
        <v>Working</v>
      </c>
      <c r="N69" t="str">
        <f t="shared" si="24"/>
        <v>Bonus</v>
      </c>
      <c r="O69" t="str">
        <f t="shared" si="26"/>
        <v>Junior</v>
      </c>
      <c r="P69" t="str">
        <f t="shared" si="27"/>
        <v>Normal</v>
      </c>
      <c r="Q69" t="str">
        <f t="shared" si="28"/>
        <v>Not Achieved</v>
      </c>
      <c r="R69" t="str">
        <f t="shared" si="29"/>
        <v>Sales Team</v>
      </c>
      <c r="S69" t="str">
        <f t="shared" si="30"/>
        <v>OK</v>
      </c>
      <c r="T69" t="str">
        <f>IF(Employee_Data!F69&lt;85,"Warning","Good")</f>
        <v>Warning</v>
      </c>
      <c r="U69" t="str">
        <f t="shared" si="31"/>
        <v>Good</v>
      </c>
      <c r="V69" t="str">
        <f t="shared" si="32"/>
        <v>Poor</v>
      </c>
      <c r="W69" t="str">
        <f t="shared" si="33"/>
        <v>Good</v>
      </c>
      <c r="X69" t="str">
        <f t="shared" si="34"/>
        <v>Beginner</v>
      </c>
      <c r="Y69" t="str">
        <f t="shared" si="35"/>
        <v>Gold</v>
      </c>
      <c r="Z69" t="str">
        <f t="shared" si="36"/>
        <v>B</v>
      </c>
      <c r="AA69" t="str">
        <f t="shared" si="37"/>
        <v>Fair</v>
      </c>
      <c r="AB69" t="str">
        <f t="shared" si="38"/>
        <v>Mid</v>
      </c>
      <c r="AC69" t="str">
        <f t="shared" si="39"/>
        <v>Average</v>
      </c>
      <c r="AD69" t="str">
        <f t="shared" si="40"/>
        <v>Good</v>
      </c>
      <c r="AE69" t="str" cm="1">
        <f t="array" ref="AE69">_xlfn.IFS(AND(D69&gt;9000, F69&gt;95), "Eligible Bonus", TRUE, "Not Eligible")</f>
        <v>Not Eligible</v>
      </c>
      <c r="AF69" s="11" t="str" cm="1">
        <f t="array" ref="AF69">IFERROR(_xlfn.IFS(AND(C69="Sales", E69&gt;120000), "Top Sales"),"- ")</f>
        <v xml:space="preserve">- </v>
      </c>
      <c r="AG69" s="11" t="str" cm="1">
        <f t="array" ref="AG69">IFERROR(_xlfn.IFS(AND(G69&gt;5, H69&gt;=4), "Promotion"),"- ")</f>
        <v xml:space="preserve">- </v>
      </c>
      <c r="AH69" s="11" t="str" cm="1">
        <f t="array" ref="AH69">IFERROR(_xlfn.IFS(OR(D69&gt;7000, F69&gt;85), "Review Required")," - ")</f>
        <v>Review Required</v>
      </c>
      <c r="AI69" s="11" t="str" cm="1">
        <f t="array" ref="AI69">IFERROR(_xlfn.IFS(OR(J69="Inactive", F69&gt;80), "HR Action")," - ")</f>
        <v>HR Action</v>
      </c>
      <c r="AJ69" s="11" t="str" cm="1">
        <f t="array" ref="AJ69">IFERROR(_xlfn.IFS(D69&gt;=12000,"High",D69&gt;=9000,"Medium"),"Low " )</f>
        <v>Medium</v>
      </c>
      <c r="AK69" t="str" cm="1">
        <f t="array" ref="AK69">IFERROR(_xlfn.IFS(F69&gt;=95,"Excellent",F69&gt;=90,"Good"),"Poor" )</f>
        <v>Poor</v>
      </c>
      <c r="AL69" s="12" t="str" cm="1">
        <f t="array" ref="AL69">IFERROR(_xlfn.IFS(AND(C69="IT", H69=5,F69&gt;=90), "IT Star"), "- ")</f>
        <v xml:space="preserve">- </v>
      </c>
      <c r="AM69" s="11" t="str" cm="1">
        <f t="array" ref="AM69">IFERROR(_xlfn.IFS(OR(C69="Finance",C69="HR"),"Administration")," - ")</f>
        <v xml:space="preserve"> - </v>
      </c>
      <c r="AN69" s="11" t="str" cm="1">
        <f t="array" ref="AN69">IFERROR(_xlfn.IFS(AND(E69&gt;100000,I69="Yes", H69&gt;=4), " Employee of Month"),"- ")</f>
        <v xml:space="preserve">- </v>
      </c>
    </row>
    <row r="70" spans="1:40" ht="15.6" x14ac:dyDescent="0.3">
      <c r="A70" t="s">
        <v>42</v>
      </c>
      <c r="B70" t="s">
        <v>43</v>
      </c>
      <c r="C70" t="s">
        <v>20</v>
      </c>
      <c r="D70">
        <v>11034</v>
      </c>
      <c r="E70">
        <v>18000</v>
      </c>
      <c r="F70">
        <v>81</v>
      </c>
      <c r="G70">
        <v>5</v>
      </c>
      <c r="H70">
        <v>5</v>
      </c>
      <c r="I70" t="s">
        <v>12</v>
      </c>
      <c r="J70" t="s">
        <v>29</v>
      </c>
      <c r="K70" t="str">
        <f t="shared" si="25"/>
        <v>High</v>
      </c>
      <c r="L70" t="str">
        <f t="shared" si="22"/>
        <v>Needs Improvement</v>
      </c>
      <c r="M70" t="str">
        <f t="shared" si="23"/>
        <v>Not Working</v>
      </c>
      <c r="N70" t="str">
        <f t="shared" si="24"/>
        <v>No Bonus</v>
      </c>
      <c r="O70" t="str">
        <f t="shared" si="26"/>
        <v>Senior</v>
      </c>
      <c r="P70" t="str">
        <f t="shared" si="27"/>
        <v>Outstanding</v>
      </c>
      <c r="Q70" t="str">
        <f t="shared" si="28"/>
        <v>Achieved</v>
      </c>
      <c r="R70" t="str">
        <f t="shared" si="29"/>
        <v>Other Team</v>
      </c>
      <c r="S70" t="str">
        <f t="shared" si="30"/>
        <v>OK</v>
      </c>
      <c r="T70" t="str">
        <f>IF(Employee_Data!F70&lt;85,"Warning","Good")</f>
        <v>Warning</v>
      </c>
      <c r="U70" t="str">
        <f t="shared" si="31"/>
        <v>Good</v>
      </c>
      <c r="V70" t="str">
        <f t="shared" si="32"/>
        <v>Poor</v>
      </c>
      <c r="W70" t="str">
        <f t="shared" si="33"/>
        <v>Outstanding</v>
      </c>
      <c r="X70" t="str">
        <f t="shared" si="34"/>
        <v>Experienced</v>
      </c>
      <c r="Y70" t="str">
        <f t="shared" si="35"/>
        <v>Silver</v>
      </c>
      <c r="Z70" t="str">
        <f t="shared" si="36"/>
        <v>B</v>
      </c>
      <c r="AA70" t="str">
        <f t="shared" si="37"/>
        <v>Fair</v>
      </c>
      <c r="AB70" t="str">
        <f t="shared" si="38"/>
        <v>Senior</v>
      </c>
      <c r="AC70" t="str">
        <f t="shared" si="39"/>
        <v>Excellent</v>
      </c>
      <c r="AD70" t="str">
        <f t="shared" si="40"/>
        <v>Low</v>
      </c>
      <c r="AE70" t="str" cm="1">
        <f t="array" ref="AE70">_xlfn.IFS(AND(D70&gt;9000, F70&gt;95), "Eligible Bonus", TRUE, "Not Eligible")</f>
        <v>Not Eligible</v>
      </c>
      <c r="AF70" s="11" t="str" cm="1">
        <f t="array" ref="AF70">IFERROR(_xlfn.IFS(AND(C70="Sales", E70&gt;120000), "Top Sales"),"- ")</f>
        <v xml:space="preserve">- </v>
      </c>
      <c r="AG70" s="11" t="str" cm="1">
        <f t="array" ref="AG70">IFERROR(_xlfn.IFS(AND(G70&gt;5, H70&gt;=4), "Promotion"),"- ")</f>
        <v xml:space="preserve">- </v>
      </c>
      <c r="AH70" s="11" t="str" cm="1">
        <f t="array" ref="AH70">IFERROR(_xlfn.IFS(OR(D70&gt;7000, F70&gt;85), "Review Required")," - ")</f>
        <v>Review Required</v>
      </c>
      <c r="AI70" s="11" t="str" cm="1">
        <f t="array" ref="AI70">IFERROR(_xlfn.IFS(OR(J70="Inactive", F70&gt;80), "HR Action")," - ")</f>
        <v>HR Action</v>
      </c>
      <c r="AJ70" s="11" t="str" cm="1">
        <f t="array" ref="AJ70">IFERROR(_xlfn.IFS(D70&gt;=12000,"High",D70&gt;=9000,"Medium"),"Low " )</f>
        <v>Medium</v>
      </c>
      <c r="AK70" t="str" cm="1">
        <f t="array" ref="AK70">IFERROR(_xlfn.IFS(F70&gt;=95,"Excellent",F70&gt;=90,"Good"),"Poor" )</f>
        <v>Poor</v>
      </c>
      <c r="AL70" s="12" t="str" cm="1">
        <f t="array" ref="AL70">IFERROR(_xlfn.IFS(AND(C70="IT", H70=5,F70&gt;=90), "IT Star"), "- ")</f>
        <v xml:space="preserve">- </v>
      </c>
      <c r="AM70" s="11" t="str" cm="1">
        <f t="array" ref="AM70">IFERROR(_xlfn.IFS(OR(C70="Finance",C70="HR"),"Administration")," - ")</f>
        <v xml:space="preserve"> - </v>
      </c>
      <c r="AN70" s="11" t="str" cm="1">
        <f t="array" ref="AN70">IFERROR(_xlfn.IFS(AND(E70&gt;100000,I70="Yes", H70&gt;=4), " Employee of Month"),"- ")</f>
        <v xml:space="preserve">- </v>
      </c>
    </row>
    <row r="71" spans="1:40" ht="15.6" x14ac:dyDescent="0.3">
      <c r="A71" t="s">
        <v>66</v>
      </c>
      <c r="B71" t="s">
        <v>22</v>
      </c>
      <c r="C71" t="s">
        <v>23</v>
      </c>
      <c r="D71">
        <v>11085</v>
      </c>
      <c r="E71">
        <v>155000</v>
      </c>
      <c r="F71">
        <v>82</v>
      </c>
      <c r="G71">
        <v>11</v>
      </c>
      <c r="H71">
        <v>1</v>
      </c>
      <c r="I71" t="s">
        <v>17</v>
      </c>
      <c r="J71" t="s">
        <v>29</v>
      </c>
      <c r="K71" t="str">
        <f t="shared" si="25"/>
        <v>High</v>
      </c>
      <c r="L71" t="str">
        <f t="shared" si="22"/>
        <v>Needs Improvement</v>
      </c>
      <c r="M71" t="str">
        <f t="shared" si="23"/>
        <v>Not Working</v>
      </c>
      <c r="N71" t="str">
        <f t="shared" si="24"/>
        <v>Bonus</v>
      </c>
      <c r="O71" t="str">
        <f t="shared" si="26"/>
        <v>Senior</v>
      </c>
      <c r="P71" t="str">
        <f t="shared" si="27"/>
        <v>Normal</v>
      </c>
      <c r="Q71" t="str">
        <f t="shared" si="28"/>
        <v>Not Achieved</v>
      </c>
      <c r="R71" t="str">
        <f t="shared" si="29"/>
        <v>Other Team</v>
      </c>
      <c r="S71" t="str">
        <f t="shared" si="30"/>
        <v>OK</v>
      </c>
      <c r="T71" t="str">
        <f>IF(Employee_Data!F71&lt;85,"Warning","Good")</f>
        <v>Warning</v>
      </c>
      <c r="U71" t="str">
        <f t="shared" si="31"/>
        <v>Good</v>
      </c>
      <c r="V71" t="str">
        <f t="shared" si="32"/>
        <v>Poor</v>
      </c>
      <c r="W71" t="str">
        <f t="shared" si="33"/>
        <v>Needs Improvement</v>
      </c>
      <c r="X71" t="str">
        <f t="shared" si="34"/>
        <v>Exper</v>
      </c>
      <c r="Y71" t="str">
        <f t="shared" si="35"/>
        <v>Platinum</v>
      </c>
      <c r="Z71" t="str">
        <f t="shared" si="36"/>
        <v>B</v>
      </c>
      <c r="AA71" t="str">
        <f t="shared" si="37"/>
        <v>Fair</v>
      </c>
      <c r="AB71" t="str">
        <f t="shared" si="38"/>
        <v>Expert</v>
      </c>
      <c r="AC71" t="str">
        <f t="shared" si="39"/>
        <v>Poor</v>
      </c>
      <c r="AD71" t="str">
        <f t="shared" si="40"/>
        <v>Best</v>
      </c>
      <c r="AE71" t="str" cm="1">
        <f t="array" ref="AE71">_xlfn.IFS(AND(D71&gt;9000, F71&gt;95), "Eligible Bonus", TRUE, "Not Eligible")</f>
        <v>Not Eligible</v>
      </c>
      <c r="AF71" s="11" t="str" cm="1">
        <f t="array" ref="AF71">IFERROR(_xlfn.IFS(AND(C71="Sales", E71&gt;120000), "Top Sales"),"- ")</f>
        <v xml:space="preserve">- </v>
      </c>
      <c r="AG71" s="11" t="str" cm="1">
        <f t="array" ref="AG71">IFERROR(_xlfn.IFS(AND(G71&gt;5, H71&gt;=4), "Promotion"),"- ")</f>
        <v xml:space="preserve">- </v>
      </c>
      <c r="AH71" s="11" t="str" cm="1">
        <f t="array" ref="AH71">IFERROR(_xlfn.IFS(OR(D71&gt;7000, F71&gt;85), "Review Required")," - ")</f>
        <v>Review Required</v>
      </c>
      <c r="AI71" s="11" t="str" cm="1">
        <f t="array" ref="AI71">IFERROR(_xlfn.IFS(OR(J71="Inactive", F71&gt;80), "HR Action")," - ")</f>
        <v>HR Action</v>
      </c>
      <c r="AJ71" s="11" t="str" cm="1">
        <f t="array" ref="AJ71">IFERROR(_xlfn.IFS(D71&gt;=12000,"High",D71&gt;=9000,"Medium"),"Low " )</f>
        <v>Medium</v>
      </c>
      <c r="AK71" t="str" cm="1">
        <f t="array" ref="AK71">IFERROR(_xlfn.IFS(F71&gt;=95,"Excellent",F71&gt;=90,"Good"),"Poor" )</f>
        <v>Poor</v>
      </c>
      <c r="AL71" s="12" t="str" cm="1">
        <f t="array" ref="AL71">IFERROR(_xlfn.IFS(AND(C71="IT", H71=5,F71&gt;=90), "IT Star"), "- ")</f>
        <v xml:space="preserve">- </v>
      </c>
      <c r="AM71" s="11" t="str" cm="1">
        <f t="array" ref="AM71">IFERROR(_xlfn.IFS(OR(C71="Finance",C71="HR"),"Administration")," - ")</f>
        <v>Administration</v>
      </c>
      <c r="AN71" s="11" t="str" cm="1">
        <f t="array" ref="AN71">IFERROR(_xlfn.IFS(AND(E71&gt;100000,I71="Yes", H71&gt;=4), " Employee of Month"),"- ")</f>
        <v xml:space="preserve">- </v>
      </c>
    </row>
    <row r="72" spans="1:40" ht="15.6" x14ac:dyDescent="0.3">
      <c r="A72" t="s">
        <v>87</v>
      </c>
      <c r="B72" t="s">
        <v>37</v>
      </c>
      <c r="C72" t="s">
        <v>26</v>
      </c>
      <c r="D72">
        <v>11136</v>
      </c>
      <c r="E72">
        <v>72000</v>
      </c>
      <c r="F72">
        <v>83</v>
      </c>
      <c r="G72">
        <v>5</v>
      </c>
      <c r="H72">
        <v>2</v>
      </c>
      <c r="I72" t="s">
        <v>12</v>
      </c>
      <c r="J72" t="s">
        <v>29</v>
      </c>
      <c r="K72" t="str">
        <f t="shared" si="25"/>
        <v>High</v>
      </c>
      <c r="L72" t="str">
        <f t="shared" si="22"/>
        <v>Needs Improvement</v>
      </c>
      <c r="M72" t="str">
        <f t="shared" si="23"/>
        <v>Not Working</v>
      </c>
      <c r="N72" t="str">
        <f t="shared" si="24"/>
        <v>No Bonus</v>
      </c>
      <c r="O72" t="str">
        <f t="shared" si="26"/>
        <v>Senior</v>
      </c>
      <c r="P72" t="str">
        <f t="shared" si="27"/>
        <v>Normal</v>
      </c>
      <c r="Q72" t="str">
        <f t="shared" si="28"/>
        <v>Achieved</v>
      </c>
      <c r="R72" t="str">
        <f t="shared" si="29"/>
        <v>Other Team</v>
      </c>
      <c r="S72" t="str">
        <f t="shared" si="30"/>
        <v>OK</v>
      </c>
      <c r="T72" t="str">
        <f>IF(Employee_Data!F72&lt;85,"Warning","Good")</f>
        <v>Warning</v>
      </c>
      <c r="U72" t="str">
        <f t="shared" si="31"/>
        <v>Good</v>
      </c>
      <c r="V72" t="str">
        <f t="shared" si="32"/>
        <v>Poor</v>
      </c>
      <c r="W72" t="str">
        <f t="shared" si="33"/>
        <v>Needs Improvement</v>
      </c>
      <c r="X72" t="str">
        <f t="shared" si="34"/>
        <v>Experienced</v>
      </c>
      <c r="Y72" t="str">
        <f t="shared" si="35"/>
        <v>Silver</v>
      </c>
      <c r="Z72" t="str">
        <f t="shared" si="36"/>
        <v>B</v>
      </c>
      <c r="AA72" t="str">
        <f t="shared" si="37"/>
        <v>Fair</v>
      </c>
      <c r="AB72" t="str">
        <f t="shared" si="38"/>
        <v>Senior</v>
      </c>
      <c r="AC72" t="str">
        <f t="shared" si="39"/>
        <v>Average</v>
      </c>
      <c r="AD72" t="str">
        <f t="shared" si="40"/>
        <v>Low</v>
      </c>
      <c r="AE72" t="str" cm="1">
        <f t="array" ref="AE72">_xlfn.IFS(AND(D72&gt;9000, F72&gt;95), "Eligible Bonus", TRUE, "Not Eligible")</f>
        <v>Not Eligible</v>
      </c>
      <c r="AF72" s="11" t="str" cm="1">
        <f t="array" ref="AF72">IFERROR(_xlfn.IFS(AND(C72="Sales", E72&gt;120000), "Top Sales"),"- ")</f>
        <v xml:space="preserve">- </v>
      </c>
      <c r="AG72" s="11" t="str" cm="1">
        <f t="array" ref="AG72">IFERROR(_xlfn.IFS(AND(G72&gt;5, H72&gt;=4), "Promotion"),"- ")</f>
        <v xml:space="preserve">- </v>
      </c>
      <c r="AH72" s="11" t="str" cm="1">
        <f t="array" ref="AH72">IFERROR(_xlfn.IFS(OR(D72&gt;7000, F72&gt;85), "Review Required")," - ")</f>
        <v>Review Required</v>
      </c>
      <c r="AI72" s="11" t="str" cm="1">
        <f t="array" ref="AI72">IFERROR(_xlfn.IFS(OR(J72="Inactive", F72&gt;80), "HR Action")," - ")</f>
        <v>HR Action</v>
      </c>
      <c r="AJ72" s="11" t="str" cm="1">
        <f t="array" ref="AJ72">IFERROR(_xlfn.IFS(D72&gt;=12000,"High",D72&gt;=9000,"Medium"),"Low " )</f>
        <v>Medium</v>
      </c>
      <c r="AK72" t="str" cm="1">
        <f t="array" ref="AK72">IFERROR(_xlfn.IFS(F72&gt;=95,"Excellent",F72&gt;=90,"Good"),"Poor" )</f>
        <v>Poor</v>
      </c>
      <c r="AL72" s="12" t="str" cm="1">
        <f t="array" ref="AL72">IFERROR(_xlfn.IFS(AND(C72="IT", H72=5,F72&gt;=90), "IT Star"), "- ")</f>
        <v xml:space="preserve">- </v>
      </c>
      <c r="AM72" s="11" t="str" cm="1">
        <f t="array" ref="AM72">IFERROR(_xlfn.IFS(OR(C72="Finance",C72="HR"),"Administration")," - ")</f>
        <v xml:space="preserve"> - </v>
      </c>
      <c r="AN72" s="11" t="str" cm="1">
        <f t="array" ref="AN72">IFERROR(_xlfn.IFS(AND(E72&gt;100000,I72="Yes", H72&gt;=4), " Employee of Month"),"- ")</f>
        <v xml:space="preserve">- </v>
      </c>
    </row>
    <row r="73" spans="1:40" ht="15.6" x14ac:dyDescent="0.3">
      <c r="A73" t="s">
        <v>108</v>
      </c>
      <c r="B73" t="s">
        <v>11</v>
      </c>
      <c r="C73" t="s">
        <v>4</v>
      </c>
      <c r="D73">
        <v>11187</v>
      </c>
      <c r="E73">
        <v>209000</v>
      </c>
      <c r="F73">
        <v>84</v>
      </c>
      <c r="G73">
        <v>11</v>
      </c>
      <c r="H73">
        <v>3</v>
      </c>
      <c r="I73" t="s">
        <v>17</v>
      </c>
      <c r="J73" t="s">
        <v>29</v>
      </c>
      <c r="K73" t="str">
        <f t="shared" si="25"/>
        <v>High</v>
      </c>
      <c r="L73" t="str">
        <f t="shared" si="22"/>
        <v>Needs Improvement</v>
      </c>
      <c r="M73" t="str">
        <f t="shared" si="23"/>
        <v>Not Working</v>
      </c>
      <c r="N73" t="str">
        <f t="shared" si="24"/>
        <v>Bonus</v>
      </c>
      <c r="O73" t="str">
        <f t="shared" si="26"/>
        <v>Senior</v>
      </c>
      <c r="P73" t="str">
        <f t="shared" si="27"/>
        <v>Normal</v>
      </c>
      <c r="Q73" t="str">
        <f t="shared" si="28"/>
        <v>Not Achieved</v>
      </c>
      <c r="R73" t="str">
        <f t="shared" si="29"/>
        <v>Sales Team</v>
      </c>
      <c r="S73" t="str">
        <f t="shared" si="30"/>
        <v>OK</v>
      </c>
      <c r="T73" t="str">
        <f>IF(Employee_Data!F73&lt;85,"Warning","Good")</f>
        <v>Warning</v>
      </c>
      <c r="U73" t="str">
        <f t="shared" si="31"/>
        <v>Good</v>
      </c>
      <c r="V73" t="str">
        <f t="shared" si="32"/>
        <v>Poor</v>
      </c>
      <c r="W73" t="str">
        <f t="shared" si="33"/>
        <v>Good</v>
      </c>
      <c r="X73" t="str">
        <f t="shared" si="34"/>
        <v>Exper</v>
      </c>
      <c r="Y73" t="str">
        <f t="shared" si="35"/>
        <v>Platinum</v>
      </c>
      <c r="Z73" t="str">
        <f t="shared" si="36"/>
        <v>B</v>
      </c>
      <c r="AA73" t="str">
        <f t="shared" si="37"/>
        <v>Fair</v>
      </c>
      <c r="AB73" t="str">
        <f t="shared" si="38"/>
        <v>Expert</v>
      </c>
      <c r="AC73" t="str">
        <f t="shared" si="39"/>
        <v>Average</v>
      </c>
      <c r="AD73" t="str">
        <f t="shared" si="40"/>
        <v>Top</v>
      </c>
      <c r="AE73" t="str" cm="1">
        <f t="array" ref="AE73">_xlfn.IFS(AND(D73&gt;9000, F73&gt;95), "Eligible Bonus", TRUE, "Not Eligible")</f>
        <v>Not Eligible</v>
      </c>
      <c r="AF73" s="11" t="str" cm="1">
        <f t="array" ref="AF73">IFERROR(_xlfn.IFS(AND(C73="Sales", E73&gt;120000), "Top Sales"),"- ")</f>
        <v>Top Sales</v>
      </c>
      <c r="AG73" s="11" t="str" cm="1">
        <f t="array" ref="AG73">IFERROR(_xlfn.IFS(AND(G73&gt;5, H73&gt;=4), "Promotion"),"- ")</f>
        <v xml:space="preserve">- </v>
      </c>
      <c r="AH73" s="11" t="str" cm="1">
        <f t="array" ref="AH73">IFERROR(_xlfn.IFS(OR(D73&gt;7000, F73&gt;85), "Review Required")," - ")</f>
        <v>Review Required</v>
      </c>
      <c r="AI73" s="11" t="str" cm="1">
        <f t="array" ref="AI73">IFERROR(_xlfn.IFS(OR(J73="Inactive", F73&gt;80), "HR Action")," - ")</f>
        <v>HR Action</v>
      </c>
      <c r="AJ73" s="11" t="str" cm="1">
        <f t="array" ref="AJ73">IFERROR(_xlfn.IFS(D73&gt;=12000,"High",D73&gt;=9000,"Medium"),"Low " )</f>
        <v>Medium</v>
      </c>
      <c r="AK73" t="str" cm="1">
        <f t="array" ref="AK73">IFERROR(_xlfn.IFS(F73&gt;=95,"Excellent",F73&gt;=90,"Good"),"Poor" )</f>
        <v>Poor</v>
      </c>
      <c r="AL73" s="12" t="str" cm="1">
        <f t="array" ref="AL73">IFERROR(_xlfn.IFS(AND(C73="IT", H73=5,F73&gt;=90), "IT Star"), "- ")</f>
        <v xml:space="preserve">- </v>
      </c>
      <c r="AM73" s="11" t="str" cm="1">
        <f t="array" ref="AM73">IFERROR(_xlfn.IFS(OR(C73="Finance",C73="HR"),"Administration")," - ")</f>
        <v xml:space="preserve"> - </v>
      </c>
      <c r="AN73" s="11" t="str" cm="1">
        <f t="array" ref="AN73">IFERROR(_xlfn.IFS(AND(E73&gt;100000,I73="Yes", H73&gt;=4), " Employee of Month"),"- ")</f>
        <v xml:space="preserve">- </v>
      </c>
    </row>
    <row r="74" spans="1:40" ht="15.6" x14ac:dyDescent="0.3">
      <c r="A74" t="s">
        <v>129</v>
      </c>
      <c r="B74" t="s">
        <v>31</v>
      </c>
      <c r="C74" t="s">
        <v>16</v>
      </c>
      <c r="D74">
        <v>11238</v>
      </c>
      <c r="E74">
        <v>126000</v>
      </c>
      <c r="F74">
        <v>85</v>
      </c>
      <c r="G74">
        <v>5</v>
      </c>
      <c r="H74">
        <v>4</v>
      </c>
      <c r="I74" t="s">
        <v>12</v>
      </c>
      <c r="J74" t="s">
        <v>29</v>
      </c>
      <c r="K74" t="str">
        <f t="shared" si="25"/>
        <v>High</v>
      </c>
      <c r="L74" t="str">
        <f t="shared" si="22"/>
        <v>Needs Improvement</v>
      </c>
      <c r="M74" t="str">
        <f t="shared" si="23"/>
        <v>Not Working</v>
      </c>
      <c r="N74" t="str">
        <f t="shared" si="24"/>
        <v>Bonus</v>
      </c>
      <c r="O74" t="str">
        <f t="shared" si="26"/>
        <v>Senior</v>
      </c>
      <c r="P74" t="str">
        <f t="shared" si="27"/>
        <v>Normal</v>
      </c>
      <c r="Q74" t="str">
        <f t="shared" si="28"/>
        <v>Achieved</v>
      </c>
      <c r="R74" t="str">
        <f t="shared" si="29"/>
        <v>Other Team</v>
      </c>
      <c r="S74" t="str">
        <f t="shared" si="30"/>
        <v>OK</v>
      </c>
      <c r="T74" t="str">
        <f>IF(Employee_Data!F74&lt;85,"Warning","Good")</f>
        <v>Good</v>
      </c>
      <c r="U74" t="str">
        <f t="shared" si="31"/>
        <v>Good</v>
      </c>
      <c r="V74" t="str">
        <f t="shared" si="32"/>
        <v>Poor</v>
      </c>
      <c r="W74" t="str">
        <f t="shared" si="33"/>
        <v>Very Good</v>
      </c>
      <c r="X74" t="str">
        <f t="shared" si="34"/>
        <v>Experienced</v>
      </c>
      <c r="Y74" t="str">
        <f t="shared" si="35"/>
        <v>Gold</v>
      </c>
      <c r="Z74" t="str">
        <f t="shared" si="36"/>
        <v>B</v>
      </c>
      <c r="AA74" t="str">
        <f t="shared" si="37"/>
        <v>Fair</v>
      </c>
      <c r="AB74" t="str">
        <f t="shared" si="38"/>
        <v>Senior</v>
      </c>
      <c r="AC74" t="str">
        <f t="shared" si="39"/>
        <v>Good</v>
      </c>
      <c r="AD74" t="str">
        <f t="shared" si="40"/>
        <v>Best</v>
      </c>
      <c r="AE74" t="str" cm="1">
        <f t="array" ref="AE74">_xlfn.IFS(AND(D74&gt;9000, F74&gt;95), "Eligible Bonus", TRUE, "Not Eligible")</f>
        <v>Not Eligible</v>
      </c>
      <c r="AF74" s="11" t="str" cm="1">
        <f t="array" ref="AF74">IFERROR(_xlfn.IFS(AND(C74="Sales", E74&gt;120000), "Top Sales"),"- ")</f>
        <v xml:space="preserve">- </v>
      </c>
      <c r="AG74" s="11" t="str" cm="1">
        <f t="array" ref="AG74">IFERROR(_xlfn.IFS(AND(G74&gt;5, H74&gt;=4), "Promotion"),"- ")</f>
        <v xml:space="preserve">- </v>
      </c>
      <c r="AH74" s="11" t="str" cm="1">
        <f t="array" ref="AH74">IFERROR(_xlfn.IFS(OR(D74&gt;7000, F74&gt;85), "Review Required")," - ")</f>
        <v>Review Required</v>
      </c>
      <c r="AI74" s="11" t="str" cm="1">
        <f t="array" ref="AI74">IFERROR(_xlfn.IFS(OR(J74="Inactive", F74&gt;80), "HR Action")," - ")</f>
        <v>HR Action</v>
      </c>
      <c r="AJ74" s="11" t="str" cm="1">
        <f t="array" ref="AJ74">IFERROR(_xlfn.IFS(D74&gt;=12000,"High",D74&gt;=9000,"Medium"),"Low " )</f>
        <v>Medium</v>
      </c>
      <c r="AK74" t="str" cm="1">
        <f t="array" ref="AK74">IFERROR(_xlfn.IFS(F74&gt;=95,"Excellent",F74&gt;=90,"Good"),"Poor" )</f>
        <v>Poor</v>
      </c>
      <c r="AL74" s="12" t="str" cm="1">
        <f t="array" ref="AL74">IFERROR(_xlfn.IFS(AND(C74="IT", H74=5,F74&gt;=90), "IT Star"), "- ")</f>
        <v xml:space="preserve">- </v>
      </c>
      <c r="AM74" s="11" t="str" cm="1">
        <f t="array" ref="AM74">IFERROR(_xlfn.IFS(OR(C74="Finance",C74="HR"),"Administration")," - ")</f>
        <v>Administration</v>
      </c>
      <c r="AN74" s="11" t="str" cm="1">
        <f t="array" ref="AN74">IFERROR(_xlfn.IFS(AND(E74&gt;100000,I74="Yes", H74&gt;=4), " Employee of Month"),"- ")</f>
        <v xml:space="preserve"> Employee of Month</v>
      </c>
    </row>
    <row r="75" spans="1:40" ht="15.6" x14ac:dyDescent="0.3">
      <c r="A75" t="s">
        <v>44</v>
      </c>
      <c r="B75" t="s">
        <v>45</v>
      </c>
      <c r="C75" t="s">
        <v>23</v>
      </c>
      <c r="D75">
        <v>11465</v>
      </c>
      <c r="E75">
        <v>35000</v>
      </c>
      <c r="F75">
        <v>84</v>
      </c>
      <c r="G75">
        <v>7</v>
      </c>
      <c r="H75">
        <v>1</v>
      </c>
      <c r="I75" t="s">
        <v>17</v>
      </c>
      <c r="J75" t="s">
        <v>13</v>
      </c>
      <c r="K75" t="str">
        <f t="shared" si="25"/>
        <v>High</v>
      </c>
      <c r="L75" t="str">
        <f t="shared" si="22"/>
        <v>Needs Improvement</v>
      </c>
      <c r="M75" t="str">
        <f t="shared" si="23"/>
        <v>Working</v>
      </c>
      <c r="N75" t="str">
        <f t="shared" si="24"/>
        <v>No Bonus</v>
      </c>
      <c r="O75" t="str">
        <f t="shared" si="26"/>
        <v>Senior</v>
      </c>
      <c r="P75" t="str">
        <f t="shared" si="27"/>
        <v>Normal</v>
      </c>
      <c r="Q75" t="str">
        <f t="shared" si="28"/>
        <v>Not Achieved</v>
      </c>
      <c r="R75" t="str">
        <f t="shared" si="29"/>
        <v>Other Team</v>
      </c>
      <c r="S75" t="str">
        <f t="shared" si="30"/>
        <v>OK</v>
      </c>
      <c r="T75" t="str">
        <f>IF(Employee_Data!F75&lt;85,"Warning","Good")</f>
        <v>Warning</v>
      </c>
      <c r="U75" t="str">
        <f t="shared" si="31"/>
        <v>Good</v>
      </c>
      <c r="V75" t="str">
        <f t="shared" si="32"/>
        <v>Poor</v>
      </c>
      <c r="W75" t="str">
        <f t="shared" si="33"/>
        <v>Needs Improvement</v>
      </c>
      <c r="X75" t="str">
        <f t="shared" si="34"/>
        <v>Experienced</v>
      </c>
      <c r="Y75" t="str">
        <f t="shared" si="35"/>
        <v>Silver</v>
      </c>
      <c r="Z75" t="str">
        <f t="shared" si="36"/>
        <v>B</v>
      </c>
      <c r="AA75" t="str">
        <f t="shared" si="37"/>
        <v>Fair</v>
      </c>
      <c r="AB75" t="str">
        <f t="shared" si="38"/>
        <v>Senior</v>
      </c>
      <c r="AC75" t="str">
        <f t="shared" si="39"/>
        <v>Poor</v>
      </c>
      <c r="AD75" t="str">
        <f t="shared" si="40"/>
        <v>Low</v>
      </c>
      <c r="AE75" t="str" cm="1">
        <f t="array" ref="AE75">_xlfn.IFS(AND(D75&gt;9000, F75&gt;95), "Eligible Bonus", TRUE, "Not Eligible")</f>
        <v>Not Eligible</v>
      </c>
      <c r="AF75" s="11" t="str" cm="1">
        <f t="array" ref="AF75">IFERROR(_xlfn.IFS(AND(C75="Sales", E75&gt;120000), "Top Sales"),"- ")</f>
        <v xml:space="preserve">- </v>
      </c>
      <c r="AG75" s="11" t="str" cm="1">
        <f t="array" ref="AG75">IFERROR(_xlfn.IFS(AND(G75&gt;5, H75&gt;=4), "Promotion"),"- ")</f>
        <v xml:space="preserve">- </v>
      </c>
      <c r="AH75" s="11" t="str" cm="1">
        <f t="array" ref="AH75">IFERROR(_xlfn.IFS(OR(D75&gt;7000, F75&gt;85), "Review Required")," - ")</f>
        <v>Review Required</v>
      </c>
      <c r="AI75" s="11" t="str" cm="1">
        <f t="array" ref="AI75">IFERROR(_xlfn.IFS(OR(J75="Inactive", F75&gt;80), "HR Action")," - ")</f>
        <v>HR Action</v>
      </c>
      <c r="AJ75" s="11" t="str" cm="1">
        <f t="array" ref="AJ75">IFERROR(_xlfn.IFS(D75&gt;=12000,"High",D75&gt;=9000,"Medium"),"Low " )</f>
        <v>Medium</v>
      </c>
      <c r="AK75" t="str" cm="1">
        <f t="array" ref="AK75">IFERROR(_xlfn.IFS(F75&gt;=95,"Excellent",F75&gt;=90,"Good"),"Poor" )</f>
        <v>Poor</v>
      </c>
      <c r="AL75" s="12" t="str" cm="1">
        <f t="array" ref="AL75">IFERROR(_xlfn.IFS(AND(C75="IT", H75=5,F75&gt;=90), "IT Star"), "- ")</f>
        <v xml:space="preserve">- </v>
      </c>
      <c r="AM75" s="11" t="str" cm="1">
        <f t="array" ref="AM75">IFERROR(_xlfn.IFS(OR(C75="Finance",C75="HR"),"Administration")," - ")</f>
        <v>Administration</v>
      </c>
      <c r="AN75" s="11" t="str" cm="1">
        <f t="array" ref="AN75">IFERROR(_xlfn.IFS(AND(E75&gt;100000,I75="Yes", H75&gt;=4), " Employee of Month"),"- ")</f>
        <v xml:space="preserve">- </v>
      </c>
    </row>
    <row r="76" spans="1:40" ht="15.6" x14ac:dyDescent="0.3">
      <c r="A76" t="s">
        <v>67</v>
      </c>
      <c r="B76" t="s">
        <v>25</v>
      </c>
      <c r="C76" t="s">
        <v>26</v>
      </c>
      <c r="D76">
        <v>11516</v>
      </c>
      <c r="E76">
        <v>172000</v>
      </c>
      <c r="F76">
        <v>85</v>
      </c>
      <c r="G76">
        <v>1</v>
      </c>
      <c r="H76">
        <v>2</v>
      </c>
      <c r="I76" t="s">
        <v>12</v>
      </c>
      <c r="J76" t="s">
        <v>13</v>
      </c>
      <c r="K76" t="str">
        <f t="shared" si="25"/>
        <v>High</v>
      </c>
      <c r="L76" t="str">
        <f t="shared" si="22"/>
        <v>Needs Improvement</v>
      </c>
      <c r="M76" t="str">
        <f t="shared" si="23"/>
        <v>Working</v>
      </c>
      <c r="N76" t="str">
        <f t="shared" si="24"/>
        <v>Bonus</v>
      </c>
      <c r="O76" t="str">
        <f t="shared" si="26"/>
        <v>Junior</v>
      </c>
      <c r="P76" t="str">
        <f t="shared" si="27"/>
        <v>Normal</v>
      </c>
      <c r="Q76" t="str">
        <f t="shared" si="28"/>
        <v>Achieved</v>
      </c>
      <c r="R76" t="str">
        <f t="shared" si="29"/>
        <v>Other Team</v>
      </c>
      <c r="S76" t="str">
        <f t="shared" si="30"/>
        <v>OK</v>
      </c>
      <c r="T76" t="str">
        <f>IF(Employee_Data!F76&lt;85,"Warning","Good")</f>
        <v>Good</v>
      </c>
      <c r="U76" t="str">
        <f t="shared" si="31"/>
        <v>Good</v>
      </c>
      <c r="V76" t="str">
        <f t="shared" si="32"/>
        <v>Poor</v>
      </c>
      <c r="W76" t="str">
        <f t="shared" si="33"/>
        <v>Needs Improvement</v>
      </c>
      <c r="X76" t="str">
        <f t="shared" si="34"/>
        <v>Beginner</v>
      </c>
      <c r="Y76" t="str">
        <f t="shared" si="35"/>
        <v>Platinum</v>
      </c>
      <c r="Z76" t="str">
        <f t="shared" si="36"/>
        <v>B</v>
      </c>
      <c r="AA76" t="str">
        <f t="shared" si="37"/>
        <v>Fair</v>
      </c>
      <c r="AB76" t="str">
        <f t="shared" si="38"/>
        <v>Junior</v>
      </c>
      <c r="AC76" t="str">
        <f t="shared" si="39"/>
        <v>Average</v>
      </c>
      <c r="AD76" t="str">
        <f t="shared" si="40"/>
        <v>Best</v>
      </c>
      <c r="AE76" t="str" cm="1">
        <f t="array" ref="AE76">_xlfn.IFS(AND(D76&gt;9000, F76&gt;95), "Eligible Bonus", TRUE, "Not Eligible")</f>
        <v>Not Eligible</v>
      </c>
      <c r="AF76" s="11" t="str" cm="1">
        <f t="array" ref="AF76">IFERROR(_xlfn.IFS(AND(C76="Sales", E76&gt;120000), "Top Sales"),"- ")</f>
        <v xml:space="preserve">- </v>
      </c>
      <c r="AG76" s="11" t="str" cm="1">
        <f t="array" ref="AG76">IFERROR(_xlfn.IFS(AND(G76&gt;5, H76&gt;=4), "Promotion"),"- ")</f>
        <v xml:space="preserve">- </v>
      </c>
      <c r="AH76" s="11" t="str" cm="1">
        <f t="array" ref="AH76">IFERROR(_xlfn.IFS(OR(D76&gt;7000, F76&gt;85), "Review Required")," - ")</f>
        <v>Review Required</v>
      </c>
      <c r="AI76" s="11" t="str" cm="1">
        <f t="array" ref="AI76">IFERROR(_xlfn.IFS(OR(J76="Inactive", F76&gt;80), "HR Action")," - ")</f>
        <v>HR Action</v>
      </c>
      <c r="AJ76" s="11" t="str" cm="1">
        <f t="array" ref="AJ76">IFERROR(_xlfn.IFS(D76&gt;=12000,"High",D76&gt;=9000,"Medium"),"Low " )</f>
        <v>Medium</v>
      </c>
      <c r="AK76" t="str" cm="1">
        <f t="array" ref="AK76">IFERROR(_xlfn.IFS(F76&gt;=95,"Excellent",F76&gt;=90,"Good"),"Poor" )</f>
        <v>Poor</v>
      </c>
      <c r="AL76" s="12" t="str" cm="1">
        <f t="array" ref="AL76">IFERROR(_xlfn.IFS(AND(C76="IT", H76=5,F76&gt;=90), "IT Star"), "- ")</f>
        <v xml:space="preserve">- </v>
      </c>
      <c r="AM76" s="11" t="str" cm="1">
        <f t="array" ref="AM76">IFERROR(_xlfn.IFS(OR(C76="Finance",C76="HR"),"Administration")," - ")</f>
        <v xml:space="preserve"> - </v>
      </c>
      <c r="AN76" s="11" t="str" cm="1">
        <f t="array" ref="AN76">IFERROR(_xlfn.IFS(AND(E76&gt;100000,I76="Yes", H76&gt;=4), " Employee of Month"),"- ")</f>
        <v xml:space="preserve">- </v>
      </c>
    </row>
    <row r="77" spans="1:40" ht="15.6" x14ac:dyDescent="0.3">
      <c r="A77" t="s">
        <v>88</v>
      </c>
      <c r="B77" t="s">
        <v>39</v>
      </c>
      <c r="C77" t="s">
        <v>4</v>
      </c>
      <c r="D77">
        <v>11567</v>
      </c>
      <c r="E77">
        <v>89000</v>
      </c>
      <c r="F77">
        <v>86</v>
      </c>
      <c r="G77">
        <v>7</v>
      </c>
      <c r="H77">
        <v>3</v>
      </c>
      <c r="I77" t="s">
        <v>17</v>
      </c>
      <c r="J77" t="s">
        <v>13</v>
      </c>
      <c r="K77" t="str">
        <f t="shared" si="25"/>
        <v>High</v>
      </c>
      <c r="L77" t="str">
        <f t="shared" si="22"/>
        <v>Needs Improvement</v>
      </c>
      <c r="M77" t="str">
        <f t="shared" si="23"/>
        <v>Working</v>
      </c>
      <c r="N77" t="str">
        <f t="shared" si="24"/>
        <v>No Bonus</v>
      </c>
      <c r="O77" t="str">
        <f t="shared" si="26"/>
        <v>Senior</v>
      </c>
      <c r="P77" t="str">
        <f t="shared" si="27"/>
        <v>Normal</v>
      </c>
      <c r="Q77" t="str">
        <f t="shared" si="28"/>
        <v>Not Achieved</v>
      </c>
      <c r="R77" t="str">
        <f t="shared" si="29"/>
        <v>Sales Team</v>
      </c>
      <c r="S77" t="str">
        <f t="shared" si="30"/>
        <v>OK</v>
      </c>
      <c r="T77" t="str">
        <f>IF(Employee_Data!F77&lt;85,"Warning","Good")</f>
        <v>Good</v>
      </c>
      <c r="U77" t="str">
        <f t="shared" si="31"/>
        <v>Good</v>
      </c>
      <c r="V77" t="str">
        <f t="shared" si="32"/>
        <v>Poor</v>
      </c>
      <c r="W77" t="str">
        <f t="shared" si="33"/>
        <v>Good</v>
      </c>
      <c r="X77" t="str">
        <f t="shared" si="34"/>
        <v>Experienced</v>
      </c>
      <c r="Y77" t="str">
        <f t="shared" si="35"/>
        <v>Silver</v>
      </c>
      <c r="Z77" t="str">
        <f t="shared" si="36"/>
        <v>B</v>
      </c>
      <c r="AA77" t="str">
        <f t="shared" si="37"/>
        <v>Fair</v>
      </c>
      <c r="AB77" t="str">
        <f t="shared" si="38"/>
        <v>Senior</v>
      </c>
      <c r="AC77" t="str">
        <f t="shared" si="39"/>
        <v>Average</v>
      </c>
      <c r="AD77" t="str">
        <f t="shared" si="40"/>
        <v>Good</v>
      </c>
      <c r="AE77" t="str" cm="1">
        <f t="array" ref="AE77">_xlfn.IFS(AND(D77&gt;9000, F77&gt;95), "Eligible Bonus", TRUE, "Not Eligible")</f>
        <v>Not Eligible</v>
      </c>
      <c r="AF77" s="11" t="str" cm="1">
        <f t="array" ref="AF77">IFERROR(_xlfn.IFS(AND(C77="Sales", E77&gt;120000), "Top Sales"),"- ")</f>
        <v xml:space="preserve">- </v>
      </c>
      <c r="AG77" s="11" t="str" cm="1">
        <f t="array" ref="AG77">IFERROR(_xlfn.IFS(AND(G77&gt;5, H77&gt;=4), "Promotion"),"- ")</f>
        <v xml:space="preserve">- </v>
      </c>
      <c r="AH77" s="11" t="str" cm="1">
        <f t="array" ref="AH77">IFERROR(_xlfn.IFS(OR(D77&gt;7000, F77&gt;85), "Review Required")," - ")</f>
        <v>Review Required</v>
      </c>
      <c r="AI77" s="11" t="str" cm="1">
        <f t="array" ref="AI77">IFERROR(_xlfn.IFS(OR(J77="Inactive", F77&gt;80), "HR Action")," - ")</f>
        <v>HR Action</v>
      </c>
      <c r="AJ77" s="11" t="str" cm="1">
        <f t="array" ref="AJ77">IFERROR(_xlfn.IFS(D77&gt;=12000,"High",D77&gt;=9000,"Medium"),"Low " )</f>
        <v>Medium</v>
      </c>
      <c r="AK77" t="str" cm="1">
        <f t="array" ref="AK77">IFERROR(_xlfn.IFS(F77&gt;=95,"Excellent",F77&gt;=90,"Good"),"Poor" )</f>
        <v>Poor</v>
      </c>
      <c r="AL77" s="12" t="str" cm="1">
        <f t="array" ref="AL77">IFERROR(_xlfn.IFS(AND(C77="IT", H77=5,F77&gt;=90), "IT Star"), "- ")</f>
        <v xml:space="preserve">- </v>
      </c>
      <c r="AM77" s="11" t="str" cm="1">
        <f t="array" ref="AM77">IFERROR(_xlfn.IFS(OR(C77="Finance",C77="HR"),"Administration")," - ")</f>
        <v xml:space="preserve"> - </v>
      </c>
      <c r="AN77" s="11" t="str" cm="1">
        <f t="array" ref="AN77">IFERROR(_xlfn.IFS(AND(E77&gt;100000,I77="Yes", H77&gt;=4), " Employee of Month"),"- ")</f>
        <v xml:space="preserve">- </v>
      </c>
    </row>
    <row r="78" spans="1:40" ht="15.6" x14ac:dyDescent="0.3">
      <c r="A78" t="s">
        <v>109</v>
      </c>
      <c r="B78" t="s">
        <v>15</v>
      </c>
      <c r="C78" t="s">
        <v>16</v>
      </c>
      <c r="D78">
        <v>11618</v>
      </c>
      <c r="E78">
        <v>6000</v>
      </c>
      <c r="F78">
        <v>87</v>
      </c>
      <c r="G78">
        <v>1</v>
      </c>
      <c r="H78">
        <v>4</v>
      </c>
      <c r="I78" t="s">
        <v>12</v>
      </c>
      <c r="J78" t="s">
        <v>13</v>
      </c>
      <c r="K78" t="str">
        <f t="shared" si="25"/>
        <v>High</v>
      </c>
      <c r="L78" t="str">
        <f t="shared" si="22"/>
        <v>Needs Improvement</v>
      </c>
      <c r="M78" t="str">
        <f t="shared" si="23"/>
        <v>Working</v>
      </c>
      <c r="N78" t="str">
        <f t="shared" si="24"/>
        <v>No Bonus</v>
      </c>
      <c r="O78" t="str">
        <f t="shared" si="26"/>
        <v>Junior</v>
      </c>
      <c r="P78" t="str">
        <f t="shared" si="27"/>
        <v>Normal</v>
      </c>
      <c r="Q78" t="str">
        <f t="shared" si="28"/>
        <v>Achieved</v>
      </c>
      <c r="R78" t="str">
        <f t="shared" si="29"/>
        <v>Other Team</v>
      </c>
      <c r="S78" t="str">
        <f t="shared" si="30"/>
        <v>OK</v>
      </c>
      <c r="T78" t="str">
        <f>IF(Employee_Data!F78&lt;85,"Warning","Good")</f>
        <v>Good</v>
      </c>
      <c r="U78" t="str">
        <f t="shared" si="31"/>
        <v>Good</v>
      </c>
      <c r="V78" t="str">
        <f t="shared" si="32"/>
        <v>Poor</v>
      </c>
      <c r="W78" t="str">
        <f t="shared" si="33"/>
        <v>Very Good</v>
      </c>
      <c r="X78" t="str">
        <f t="shared" si="34"/>
        <v>Beginner</v>
      </c>
      <c r="Y78" t="str">
        <f t="shared" si="35"/>
        <v>Silver</v>
      </c>
      <c r="Z78" t="str">
        <f t="shared" si="36"/>
        <v>B</v>
      </c>
      <c r="AA78" t="str">
        <f t="shared" si="37"/>
        <v>Fair</v>
      </c>
      <c r="AB78" t="str">
        <f t="shared" si="38"/>
        <v>Junior</v>
      </c>
      <c r="AC78" t="str">
        <f t="shared" si="39"/>
        <v>Good</v>
      </c>
      <c r="AD78" t="str">
        <f t="shared" si="40"/>
        <v>Low</v>
      </c>
      <c r="AE78" t="str" cm="1">
        <f t="array" ref="AE78">_xlfn.IFS(AND(D78&gt;9000, F78&gt;95), "Eligible Bonus", TRUE, "Not Eligible")</f>
        <v>Not Eligible</v>
      </c>
      <c r="AF78" s="11" t="str" cm="1">
        <f t="array" ref="AF78">IFERROR(_xlfn.IFS(AND(C78="Sales", E78&gt;120000), "Top Sales"),"- ")</f>
        <v xml:space="preserve">- </v>
      </c>
      <c r="AG78" s="11" t="str" cm="1">
        <f t="array" ref="AG78">IFERROR(_xlfn.IFS(AND(G78&gt;5, H78&gt;=4), "Promotion"),"- ")</f>
        <v xml:space="preserve">- </v>
      </c>
      <c r="AH78" s="11" t="str" cm="1">
        <f t="array" ref="AH78">IFERROR(_xlfn.IFS(OR(D78&gt;7000, F78&gt;85), "Review Required")," - ")</f>
        <v>Review Required</v>
      </c>
      <c r="AI78" s="11" t="str" cm="1">
        <f t="array" ref="AI78">IFERROR(_xlfn.IFS(OR(J78="Inactive", F78&gt;80), "HR Action")," - ")</f>
        <v>HR Action</v>
      </c>
      <c r="AJ78" s="11" t="str" cm="1">
        <f t="array" ref="AJ78">IFERROR(_xlfn.IFS(D78&gt;=12000,"High",D78&gt;=9000,"Medium"),"Low " )</f>
        <v>Medium</v>
      </c>
      <c r="AK78" t="str" cm="1">
        <f t="array" ref="AK78">IFERROR(_xlfn.IFS(F78&gt;=95,"Excellent",F78&gt;=90,"Good"),"Poor" )</f>
        <v>Poor</v>
      </c>
      <c r="AL78" s="12" t="str" cm="1">
        <f t="array" ref="AL78">IFERROR(_xlfn.IFS(AND(C78="IT", H78=5,F78&gt;=90), "IT Star"), "- ")</f>
        <v xml:space="preserve">- </v>
      </c>
      <c r="AM78" s="11" t="str" cm="1">
        <f t="array" ref="AM78">IFERROR(_xlfn.IFS(OR(C78="Finance",C78="HR"),"Administration")," - ")</f>
        <v>Administration</v>
      </c>
      <c r="AN78" s="11" t="str" cm="1">
        <f t="array" ref="AN78">IFERROR(_xlfn.IFS(AND(E78&gt;100000,I78="Yes", H78&gt;=4), " Employee of Month"),"- ")</f>
        <v xml:space="preserve">- </v>
      </c>
    </row>
    <row r="79" spans="1:40" ht="15.6" x14ac:dyDescent="0.3">
      <c r="A79" t="s">
        <v>130</v>
      </c>
      <c r="B79" t="s">
        <v>33</v>
      </c>
      <c r="C79" t="s">
        <v>20</v>
      </c>
      <c r="D79">
        <v>11669</v>
      </c>
      <c r="E79">
        <v>143000</v>
      </c>
      <c r="F79">
        <v>88</v>
      </c>
      <c r="G79">
        <v>7</v>
      </c>
      <c r="H79">
        <v>5</v>
      </c>
      <c r="I79" t="s">
        <v>17</v>
      </c>
      <c r="J79" t="s">
        <v>13</v>
      </c>
      <c r="K79" t="str">
        <f t="shared" si="25"/>
        <v>High</v>
      </c>
      <c r="L79" t="str">
        <f t="shared" si="22"/>
        <v>Needs Improvement</v>
      </c>
      <c r="M79" t="str">
        <f t="shared" si="23"/>
        <v>Working</v>
      </c>
      <c r="N79" t="str">
        <f t="shared" si="24"/>
        <v>Bonus</v>
      </c>
      <c r="O79" t="str">
        <f t="shared" si="26"/>
        <v>Senior</v>
      </c>
      <c r="P79" t="str">
        <f t="shared" si="27"/>
        <v>Outstanding</v>
      </c>
      <c r="Q79" t="str">
        <f t="shared" si="28"/>
        <v>Not Achieved</v>
      </c>
      <c r="R79" t="str">
        <f t="shared" si="29"/>
        <v>Other Team</v>
      </c>
      <c r="S79" t="str">
        <f t="shared" si="30"/>
        <v>OK</v>
      </c>
      <c r="T79" t="str">
        <f>IF(Employee_Data!F79&lt;85,"Warning","Good")</f>
        <v>Good</v>
      </c>
      <c r="U79" t="str">
        <f t="shared" si="31"/>
        <v>Good</v>
      </c>
      <c r="V79" t="str">
        <f t="shared" si="32"/>
        <v>Poor</v>
      </c>
      <c r="W79" t="str">
        <f t="shared" si="33"/>
        <v>Outstanding</v>
      </c>
      <c r="X79" t="str">
        <f t="shared" si="34"/>
        <v>Experienced</v>
      </c>
      <c r="Y79" t="str">
        <f t="shared" si="35"/>
        <v>Gold</v>
      </c>
      <c r="Z79" t="str">
        <f t="shared" si="36"/>
        <v>B</v>
      </c>
      <c r="AA79" t="str">
        <f t="shared" si="37"/>
        <v>Fair</v>
      </c>
      <c r="AB79" t="str">
        <f t="shared" si="38"/>
        <v>Senior</v>
      </c>
      <c r="AC79" t="str">
        <f t="shared" si="39"/>
        <v>Excellent</v>
      </c>
      <c r="AD79" t="str">
        <f t="shared" si="40"/>
        <v>Best</v>
      </c>
      <c r="AE79" t="str" cm="1">
        <f t="array" ref="AE79">_xlfn.IFS(AND(D79&gt;9000, F79&gt;95), "Eligible Bonus", TRUE, "Not Eligible")</f>
        <v>Not Eligible</v>
      </c>
      <c r="AF79" s="11" t="str" cm="1">
        <f t="array" ref="AF79">IFERROR(_xlfn.IFS(AND(C79="Sales", E79&gt;120000), "Top Sales"),"- ")</f>
        <v xml:space="preserve">- </v>
      </c>
      <c r="AG79" s="11" t="str" cm="1">
        <f t="array" ref="AG79">IFERROR(_xlfn.IFS(AND(G79&gt;5, H79&gt;=4), "Promotion"),"- ")</f>
        <v>Promotion</v>
      </c>
      <c r="AH79" s="11" t="str" cm="1">
        <f t="array" ref="AH79">IFERROR(_xlfn.IFS(OR(D79&gt;7000, F79&gt;85), "Review Required")," - ")</f>
        <v>Review Required</v>
      </c>
      <c r="AI79" s="11" t="str" cm="1">
        <f t="array" ref="AI79">IFERROR(_xlfn.IFS(OR(J79="Inactive", F79&gt;80), "HR Action")," - ")</f>
        <v>HR Action</v>
      </c>
      <c r="AJ79" s="11" t="str" cm="1">
        <f t="array" ref="AJ79">IFERROR(_xlfn.IFS(D79&gt;=12000,"High",D79&gt;=9000,"Medium"),"Low " )</f>
        <v>Medium</v>
      </c>
      <c r="AK79" t="str" cm="1">
        <f t="array" ref="AK79">IFERROR(_xlfn.IFS(F79&gt;=95,"Excellent",F79&gt;=90,"Good"),"Poor" )</f>
        <v>Poor</v>
      </c>
      <c r="AL79" s="12" t="str" cm="1">
        <f t="array" ref="AL79">IFERROR(_xlfn.IFS(AND(C79="IT", H79=5,F79&gt;=90), "IT Star"), "- ")</f>
        <v xml:space="preserve">- </v>
      </c>
      <c r="AM79" s="11" t="str" cm="1">
        <f t="array" ref="AM79">IFERROR(_xlfn.IFS(OR(C79="Finance",C79="HR"),"Administration")," - ")</f>
        <v xml:space="preserve"> - </v>
      </c>
      <c r="AN79" s="11" t="str" cm="1">
        <f t="array" ref="AN79">IFERROR(_xlfn.IFS(AND(E79&gt;100000,I79="Yes", H79&gt;=4), " Employee of Month"),"- ")</f>
        <v xml:space="preserve">- </v>
      </c>
    </row>
    <row r="80" spans="1:40" ht="15.6" x14ac:dyDescent="0.3">
      <c r="A80" t="s">
        <v>46</v>
      </c>
      <c r="B80" t="s">
        <v>47</v>
      </c>
      <c r="C80" t="s">
        <v>26</v>
      </c>
      <c r="D80">
        <v>11896</v>
      </c>
      <c r="E80">
        <v>52000</v>
      </c>
      <c r="F80">
        <v>87</v>
      </c>
      <c r="G80">
        <v>9</v>
      </c>
      <c r="H80">
        <v>2</v>
      </c>
      <c r="I80" t="s">
        <v>12</v>
      </c>
      <c r="J80" t="s">
        <v>13</v>
      </c>
      <c r="K80" t="str">
        <f t="shared" si="25"/>
        <v>High</v>
      </c>
      <c r="L80" t="str">
        <f t="shared" si="22"/>
        <v>Needs Improvement</v>
      </c>
      <c r="M80" t="str">
        <f t="shared" si="23"/>
        <v>Working</v>
      </c>
      <c r="N80" t="str">
        <f t="shared" si="24"/>
        <v>No Bonus</v>
      </c>
      <c r="O80" t="str">
        <f t="shared" si="26"/>
        <v>Senior</v>
      </c>
      <c r="P80" t="str">
        <f t="shared" si="27"/>
        <v>Normal</v>
      </c>
      <c r="Q80" t="str">
        <f t="shared" si="28"/>
        <v>Achieved</v>
      </c>
      <c r="R80" t="str">
        <f t="shared" si="29"/>
        <v>Other Team</v>
      </c>
      <c r="S80" t="str">
        <f t="shared" si="30"/>
        <v>OK</v>
      </c>
      <c r="T80" t="str">
        <f>IF(Employee_Data!F80&lt;85,"Warning","Good")</f>
        <v>Good</v>
      </c>
      <c r="U80" t="str">
        <f t="shared" si="31"/>
        <v>Good</v>
      </c>
      <c r="V80" t="str">
        <f t="shared" si="32"/>
        <v>Poor</v>
      </c>
      <c r="W80" t="str">
        <f t="shared" si="33"/>
        <v>Needs Improvement</v>
      </c>
      <c r="X80" t="str">
        <f t="shared" si="34"/>
        <v>Experienced</v>
      </c>
      <c r="Y80" t="str">
        <f t="shared" si="35"/>
        <v>Silver</v>
      </c>
      <c r="Z80" t="str">
        <f t="shared" si="36"/>
        <v>B</v>
      </c>
      <c r="AA80" t="str">
        <f t="shared" si="37"/>
        <v>Fair</v>
      </c>
      <c r="AB80" t="str">
        <f t="shared" si="38"/>
        <v>Expert</v>
      </c>
      <c r="AC80" t="str">
        <f t="shared" si="39"/>
        <v>Average</v>
      </c>
      <c r="AD80" t="str">
        <f t="shared" si="40"/>
        <v>Low</v>
      </c>
      <c r="AE80" t="str" cm="1">
        <f t="array" ref="AE80">_xlfn.IFS(AND(D80&gt;9000, F80&gt;95), "Eligible Bonus", TRUE, "Not Eligible")</f>
        <v>Not Eligible</v>
      </c>
      <c r="AF80" s="11" t="str" cm="1">
        <f t="array" ref="AF80">IFERROR(_xlfn.IFS(AND(C80="Sales", E80&gt;120000), "Top Sales"),"- ")</f>
        <v xml:space="preserve">- </v>
      </c>
      <c r="AG80" s="11" t="str" cm="1">
        <f t="array" ref="AG80">IFERROR(_xlfn.IFS(AND(G80&gt;5, H80&gt;=4), "Promotion"),"- ")</f>
        <v xml:space="preserve">- </v>
      </c>
      <c r="AH80" s="11" t="str" cm="1">
        <f t="array" ref="AH80">IFERROR(_xlfn.IFS(OR(D80&gt;7000, F80&gt;85), "Review Required")," - ")</f>
        <v>Review Required</v>
      </c>
      <c r="AI80" s="11" t="str" cm="1">
        <f t="array" ref="AI80">IFERROR(_xlfn.IFS(OR(J80="Inactive", F80&gt;80), "HR Action")," - ")</f>
        <v>HR Action</v>
      </c>
      <c r="AJ80" s="11" t="str" cm="1">
        <f t="array" ref="AJ80">IFERROR(_xlfn.IFS(D80&gt;=12000,"High",D80&gt;=9000,"Medium"),"Low " )</f>
        <v>Medium</v>
      </c>
      <c r="AK80" t="str" cm="1">
        <f t="array" ref="AK80">IFERROR(_xlfn.IFS(F80&gt;=95,"Excellent",F80&gt;=90,"Good"),"Poor" )</f>
        <v>Poor</v>
      </c>
      <c r="AL80" s="12" t="str" cm="1">
        <f t="array" ref="AL80">IFERROR(_xlfn.IFS(AND(C80="IT", H80=5,F80&gt;=90), "IT Star"), "- ")</f>
        <v xml:space="preserve">- </v>
      </c>
      <c r="AM80" s="11" t="str" cm="1">
        <f t="array" ref="AM80">IFERROR(_xlfn.IFS(OR(C80="Finance",C80="HR"),"Administration")," - ")</f>
        <v xml:space="preserve"> - </v>
      </c>
      <c r="AN80" s="11" t="str" cm="1">
        <f t="array" ref="AN80">IFERROR(_xlfn.IFS(AND(E80&gt;100000,I80="Yes", H80&gt;=4), " Employee of Month"),"- ")</f>
        <v xml:space="preserve">- </v>
      </c>
    </row>
    <row r="81" spans="1:40" ht="15.6" x14ac:dyDescent="0.3">
      <c r="A81" t="s">
        <v>68</v>
      </c>
      <c r="B81" t="s">
        <v>28</v>
      </c>
      <c r="C81" t="s">
        <v>4</v>
      </c>
      <c r="D81">
        <v>11947</v>
      </c>
      <c r="E81">
        <v>189000</v>
      </c>
      <c r="F81">
        <v>88</v>
      </c>
      <c r="G81">
        <v>3</v>
      </c>
      <c r="H81">
        <v>3</v>
      </c>
      <c r="I81" t="s">
        <v>17</v>
      </c>
      <c r="J81" t="s">
        <v>13</v>
      </c>
      <c r="K81" t="str">
        <f t="shared" si="25"/>
        <v>High</v>
      </c>
      <c r="L81" t="str">
        <f t="shared" si="22"/>
        <v>Needs Improvement</v>
      </c>
      <c r="M81" t="str">
        <f t="shared" si="23"/>
        <v>Working</v>
      </c>
      <c r="N81" t="str">
        <f t="shared" si="24"/>
        <v>Bonus</v>
      </c>
      <c r="O81" t="str">
        <f t="shared" si="26"/>
        <v>Junior</v>
      </c>
      <c r="P81" t="str">
        <f t="shared" si="27"/>
        <v>Normal</v>
      </c>
      <c r="Q81" t="str">
        <f t="shared" si="28"/>
        <v>Not Achieved</v>
      </c>
      <c r="R81" t="str">
        <f t="shared" si="29"/>
        <v>Sales Team</v>
      </c>
      <c r="S81" t="str">
        <f t="shared" si="30"/>
        <v>OK</v>
      </c>
      <c r="T81" t="str">
        <f>IF(Employee_Data!F81&lt;85,"Warning","Good")</f>
        <v>Good</v>
      </c>
      <c r="U81" t="str">
        <f t="shared" si="31"/>
        <v>Good</v>
      </c>
      <c r="V81" t="str">
        <f t="shared" si="32"/>
        <v>Poor</v>
      </c>
      <c r="W81" t="str">
        <f t="shared" si="33"/>
        <v>Good</v>
      </c>
      <c r="X81" t="str">
        <f t="shared" si="34"/>
        <v>Beginner</v>
      </c>
      <c r="Y81" t="str">
        <f t="shared" si="35"/>
        <v>Platinum</v>
      </c>
      <c r="Z81" t="str">
        <f t="shared" si="36"/>
        <v>B</v>
      </c>
      <c r="AA81" t="str">
        <f t="shared" si="37"/>
        <v>Fair</v>
      </c>
      <c r="AB81" t="str">
        <f t="shared" si="38"/>
        <v>Mid</v>
      </c>
      <c r="AC81" t="str">
        <f t="shared" si="39"/>
        <v>Average</v>
      </c>
      <c r="AD81" t="str">
        <f t="shared" si="40"/>
        <v>Top</v>
      </c>
      <c r="AE81" t="str" cm="1">
        <f t="array" ref="AE81">_xlfn.IFS(AND(D81&gt;9000, F81&gt;95), "Eligible Bonus", TRUE, "Not Eligible")</f>
        <v>Not Eligible</v>
      </c>
      <c r="AF81" s="11" t="str" cm="1">
        <f t="array" ref="AF81">IFERROR(_xlfn.IFS(AND(C81="Sales", E81&gt;120000), "Top Sales"),"- ")</f>
        <v>Top Sales</v>
      </c>
      <c r="AG81" s="11" t="str" cm="1">
        <f t="array" ref="AG81">IFERROR(_xlfn.IFS(AND(G81&gt;5, H81&gt;=4), "Promotion"),"- ")</f>
        <v xml:space="preserve">- </v>
      </c>
      <c r="AH81" s="11" t="str" cm="1">
        <f t="array" ref="AH81">IFERROR(_xlfn.IFS(OR(D81&gt;7000, F81&gt;85), "Review Required")," - ")</f>
        <v>Review Required</v>
      </c>
      <c r="AI81" s="11" t="str" cm="1">
        <f t="array" ref="AI81">IFERROR(_xlfn.IFS(OR(J81="Inactive", F81&gt;80), "HR Action")," - ")</f>
        <v>HR Action</v>
      </c>
      <c r="AJ81" s="11" t="str" cm="1">
        <f t="array" ref="AJ81">IFERROR(_xlfn.IFS(D81&gt;=12000,"High",D81&gt;=9000,"Medium"),"Low " )</f>
        <v>Medium</v>
      </c>
      <c r="AK81" t="str" cm="1">
        <f t="array" ref="AK81">IFERROR(_xlfn.IFS(F81&gt;=95,"Excellent",F81&gt;=90,"Good"),"Poor" )</f>
        <v>Poor</v>
      </c>
      <c r="AL81" s="12" t="str" cm="1">
        <f t="array" ref="AL81">IFERROR(_xlfn.IFS(AND(C81="IT", H81=5,F81&gt;=90), "IT Star"), "- ")</f>
        <v xml:space="preserve">- </v>
      </c>
      <c r="AM81" s="11" t="str" cm="1">
        <f t="array" ref="AM81">IFERROR(_xlfn.IFS(OR(C81="Finance",C81="HR"),"Administration")," - ")</f>
        <v xml:space="preserve"> - </v>
      </c>
      <c r="AN81" s="11" t="str" cm="1">
        <f t="array" ref="AN81">IFERROR(_xlfn.IFS(AND(E81&gt;100000,I81="Yes", H81&gt;=4), " Employee of Month"),"- ")</f>
        <v xml:space="preserve">- </v>
      </c>
    </row>
    <row r="82" spans="1:40" ht="15.6" x14ac:dyDescent="0.3">
      <c r="A82" t="s">
        <v>89</v>
      </c>
      <c r="B82" t="s">
        <v>41</v>
      </c>
      <c r="C82" t="s">
        <v>16</v>
      </c>
      <c r="D82">
        <v>11998</v>
      </c>
      <c r="E82">
        <v>106000</v>
      </c>
      <c r="F82">
        <v>89</v>
      </c>
      <c r="G82">
        <v>9</v>
      </c>
      <c r="H82">
        <v>4</v>
      </c>
      <c r="I82" t="s">
        <v>12</v>
      </c>
      <c r="J82" t="s">
        <v>13</v>
      </c>
      <c r="K82" t="str">
        <f t="shared" si="25"/>
        <v>High</v>
      </c>
      <c r="L82" t="str">
        <f t="shared" si="22"/>
        <v>Needs Improvement</v>
      </c>
      <c r="M82" t="str">
        <f t="shared" si="23"/>
        <v>Working</v>
      </c>
      <c r="N82" t="str">
        <f t="shared" si="24"/>
        <v>Bonus</v>
      </c>
      <c r="O82" t="str">
        <f t="shared" si="26"/>
        <v>Senior</v>
      </c>
      <c r="P82" t="str">
        <f t="shared" si="27"/>
        <v>Normal</v>
      </c>
      <c r="Q82" t="str">
        <f t="shared" si="28"/>
        <v>Achieved</v>
      </c>
      <c r="R82" t="str">
        <f t="shared" si="29"/>
        <v>Other Team</v>
      </c>
      <c r="S82" t="str">
        <f t="shared" si="30"/>
        <v>OK</v>
      </c>
      <c r="T82" t="str">
        <f>IF(Employee_Data!F82&lt;85,"Warning","Good")</f>
        <v>Good</v>
      </c>
      <c r="U82" t="str">
        <f t="shared" si="31"/>
        <v>Good</v>
      </c>
      <c r="V82" t="str">
        <f t="shared" si="32"/>
        <v>Poor</v>
      </c>
      <c r="W82" t="str">
        <f t="shared" si="33"/>
        <v>Very Good</v>
      </c>
      <c r="X82" t="str">
        <f t="shared" si="34"/>
        <v>Experienced</v>
      </c>
      <c r="Y82" t="str">
        <f t="shared" si="35"/>
        <v>Gold</v>
      </c>
      <c r="Z82" t="str">
        <f t="shared" si="36"/>
        <v>B</v>
      </c>
      <c r="AA82" t="str">
        <f t="shared" si="37"/>
        <v>Fair</v>
      </c>
      <c r="AB82" t="str">
        <f t="shared" si="38"/>
        <v>Expert</v>
      </c>
      <c r="AC82" t="str">
        <f t="shared" si="39"/>
        <v>Good</v>
      </c>
      <c r="AD82" t="str">
        <f t="shared" si="40"/>
        <v>Good</v>
      </c>
      <c r="AE82" t="str" cm="1">
        <f t="array" ref="AE82">_xlfn.IFS(AND(D82&gt;9000, F82&gt;95), "Eligible Bonus", TRUE, "Not Eligible")</f>
        <v>Not Eligible</v>
      </c>
      <c r="AF82" s="11" t="str" cm="1">
        <f t="array" ref="AF82">IFERROR(_xlfn.IFS(AND(C82="Sales", E82&gt;120000), "Top Sales"),"- ")</f>
        <v xml:space="preserve">- </v>
      </c>
      <c r="AG82" s="11" t="str" cm="1">
        <f t="array" ref="AG82">IFERROR(_xlfn.IFS(AND(G82&gt;5, H82&gt;=4), "Promotion"),"- ")</f>
        <v>Promotion</v>
      </c>
      <c r="AH82" s="11" t="str" cm="1">
        <f t="array" ref="AH82">IFERROR(_xlfn.IFS(OR(D82&gt;7000, F82&gt;85), "Review Required")," - ")</f>
        <v>Review Required</v>
      </c>
      <c r="AI82" s="11" t="str" cm="1">
        <f t="array" ref="AI82">IFERROR(_xlfn.IFS(OR(J82="Inactive", F82&gt;80), "HR Action")," - ")</f>
        <v>HR Action</v>
      </c>
      <c r="AJ82" s="11" t="str" cm="1">
        <f t="array" ref="AJ82">IFERROR(_xlfn.IFS(D82&gt;=12000,"High",D82&gt;=9000,"Medium"),"Low " )</f>
        <v>Medium</v>
      </c>
      <c r="AK82" t="str" cm="1">
        <f t="array" ref="AK82">IFERROR(_xlfn.IFS(F82&gt;=95,"Excellent",F82&gt;=90,"Good"),"Poor" )</f>
        <v>Poor</v>
      </c>
      <c r="AL82" s="12" t="str" cm="1">
        <f t="array" ref="AL82">IFERROR(_xlfn.IFS(AND(C82="IT", H82=5,F82&gt;=90), "IT Star"), "- ")</f>
        <v xml:space="preserve">- </v>
      </c>
      <c r="AM82" s="11" t="str" cm="1">
        <f t="array" ref="AM82">IFERROR(_xlfn.IFS(OR(C82="Finance",C82="HR"),"Administration")," - ")</f>
        <v>Administration</v>
      </c>
      <c r="AN82" s="11" t="str" cm="1">
        <f t="array" ref="AN82">IFERROR(_xlfn.IFS(AND(E82&gt;100000,I82="Yes", H82&gt;=4), " Employee of Month"),"- ")</f>
        <v xml:space="preserve"> Employee of Month</v>
      </c>
    </row>
    <row r="83" spans="1:40" ht="15.6" x14ac:dyDescent="0.3">
      <c r="A83" t="s">
        <v>110</v>
      </c>
      <c r="B83" t="s">
        <v>19</v>
      </c>
      <c r="C83" t="s">
        <v>20</v>
      </c>
      <c r="D83">
        <v>12049</v>
      </c>
      <c r="E83">
        <v>23000</v>
      </c>
      <c r="F83">
        <v>90</v>
      </c>
      <c r="G83">
        <v>3</v>
      </c>
      <c r="H83">
        <v>5</v>
      </c>
      <c r="I83" t="s">
        <v>17</v>
      </c>
      <c r="J83" t="s">
        <v>13</v>
      </c>
      <c r="K83" t="str">
        <f t="shared" si="25"/>
        <v>High</v>
      </c>
      <c r="L83" t="str">
        <f t="shared" si="22"/>
        <v>Needs Improvement</v>
      </c>
      <c r="M83" t="str">
        <f t="shared" si="23"/>
        <v>Working</v>
      </c>
      <c r="N83" t="str">
        <f t="shared" si="24"/>
        <v>No Bonus</v>
      </c>
      <c r="O83" t="str">
        <f t="shared" si="26"/>
        <v>Junior</v>
      </c>
      <c r="P83" t="str">
        <f t="shared" si="27"/>
        <v>Outstanding</v>
      </c>
      <c r="Q83" t="str">
        <f t="shared" si="28"/>
        <v>Not Achieved</v>
      </c>
      <c r="R83" t="str">
        <f t="shared" si="29"/>
        <v>Other Team</v>
      </c>
      <c r="S83" t="str">
        <f t="shared" si="30"/>
        <v>OK</v>
      </c>
      <c r="T83" t="str">
        <f>IF(Employee_Data!F83&lt;85,"Warning","Good")</f>
        <v>Good</v>
      </c>
      <c r="U83" t="str">
        <f t="shared" si="31"/>
        <v>Excellent</v>
      </c>
      <c r="V83" t="str">
        <f t="shared" si="32"/>
        <v>Good</v>
      </c>
      <c r="W83" t="str">
        <f t="shared" si="33"/>
        <v>Outstanding</v>
      </c>
      <c r="X83" t="str">
        <f t="shared" si="34"/>
        <v>Beginner</v>
      </c>
      <c r="Y83" t="str">
        <f t="shared" si="35"/>
        <v>Silver</v>
      </c>
      <c r="Z83" t="str">
        <f t="shared" si="36"/>
        <v>B</v>
      </c>
      <c r="AA83" t="str">
        <f t="shared" si="37"/>
        <v>Good</v>
      </c>
      <c r="AB83" t="str">
        <f t="shared" si="38"/>
        <v>Mid</v>
      </c>
      <c r="AC83" t="str">
        <f t="shared" si="39"/>
        <v>Excellent</v>
      </c>
      <c r="AD83" t="str">
        <f t="shared" si="40"/>
        <v>Low</v>
      </c>
      <c r="AE83" t="str" cm="1">
        <f t="array" ref="AE83">_xlfn.IFS(AND(D83&gt;9000, F83&gt;95), "Eligible Bonus", TRUE, "Not Eligible")</f>
        <v>Not Eligible</v>
      </c>
      <c r="AF83" s="11" t="str" cm="1">
        <f t="array" ref="AF83">IFERROR(_xlfn.IFS(AND(C83="Sales", E83&gt;120000), "Top Sales"),"- ")</f>
        <v xml:space="preserve">- </v>
      </c>
      <c r="AG83" s="11" t="str" cm="1">
        <f t="array" ref="AG83">IFERROR(_xlfn.IFS(AND(G83&gt;5, H83&gt;=4), "Promotion"),"- ")</f>
        <v xml:space="preserve">- </v>
      </c>
      <c r="AH83" s="11" t="str" cm="1">
        <f t="array" ref="AH83">IFERROR(_xlfn.IFS(OR(D83&gt;7000, F83&gt;85), "Review Required")," - ")</f>
        <v>Review Required</v>
      </c>
      <c r="AI83" s="11" t="str" cm="1">
        <f t="array" ref="AI83">IFERROR(_xlfn.IFS(OR(J83="Inactive", F83&gt;80), "HR Action")," - ")</f>
        <v>HR Action</v>
      </c>
      <c r="AJ83" s="11" t="str" cm="1">
        <f t="array" ref="AJ83">IFERROR(_xlfn.IFS(D83&gt;=12000,"High",D83&gt;=9000,"Medium"),"Low " )</f>
        <v>High</v>
      </c>
      <c r="AK83" t="str" cm="1">
        <f t="array" ref="AK83">IFERROR(_xlfn.IFS(F83&gt;=95,"Excellent",F83&gt;=90,"Good"),"Poor" )</f>
        <v>Good</v>
      </c>
      <c r="AL83" s="12" t="str" cm="1">
        <f t="array" ref="AL83">IFERROR(_xlfn.IFS(AND(C83="IT", H83=5,F83&gt;=90), "IT Star"), "- ")</f>
        <v>IT Star</v>
      </c>
      <c r="AM83" s="11" t="str" cm="1">
        <f t="array" ref="AM83">IFERROR(_xlfn.IFS(OR(C83="Finance",C83="HR"),"Administration")," - ")</f>
        <v xml:space="preserve"> - </v>
      </c>
      <c r="AN83" s="11" t="str" cm="1">
        <f t="array" ref="AN83">IFERROR(_xlfn.IFS(AND(E83&gt;100000,I83="Yes", H83&gt;=4), " Employee of Month"),"- ")</f>
        <v xml:space="preserve">- </v>
      </c>
    </row>
    <row r="84" spans="1:40" ht="15.6" x14ac:dyDescent="0.3">
      <c r="A84" t="s">
        <v>131</v>
      </c>
      <c r="B84" t="s">
        <v>35</v>
      </c>
      <c r="C84" t="s">
        <v>23</v>
      </c>
      <c r="D84">
        <v>12100</v>
      </c>
      <c r="E84">
        <v>160000</v>
      </c>
      <c r="F84">
        <v>91</v>
      </c>
      <c r="G84">
        <v>9</v>
      </c>
      <c r="H84">
        <v>1</v>
      </c>
      <c r="I84" t="s">
        <v>12</v>
      </c>
      <c r="J84" t="s">
        <v>13</v>
      </c>
      <c r="K84" t="str">
        <f t="shared" si="25"/>
        <v>High</v>
      </c>
      <c r="L84" t="str">
        <f t="shared" si="22"/>
        <v>Needs Improvement</v>
      </c>
      <c r="M84" t="str">
        <f t="shared" si="23"/>
        <v>Working</v>
      </c>
      <c r="N84" t="str">
        <f t="shared" si="24"/>
        <v>Bonus</v>
      </c>
      <c r="O84" t="str">
        <f t="shared" si="26"/>
        <v>Senior</v>
      </c>
      <c r="P84" t="str">
        <f t="shared" si="27"/>
        <v>Normal</v>
      </c>
      <c r="Q84" t="str">
        <f t="shared" si="28"/>
        <v>Achieved</v>
      </c>
      <c r="R84" t="str">
        <f t="shared" si="29"/>
        <v>Other Team</v>
      </c>
      <c r="S84" t="str">
        <f t="shared" si="30"/>
        <v>OK</v>
      </c>
      <c r="T84" t="str">
        <f>IF(Employee_Data!F84&lt;85,"Warning","Good")</f>
        <v>Good</v>
      </c>
      <c r="U84" t="str">
        <f t="shared" si="31"/>
        <v>Excellent</v>
      </c>
      <c r="V84" t="str">
        <f t="shared" si="32"/>
        <v>Good</v>
      </c>
      <c r="W84" t="str">
        <f t="shared" si="33"/>
        <v>Needs Improvement</v>
      </c>
      <c r="X84" t="str">
        <f t="shared" si="34"/>
        <v>Experienced</v>
      </c>
      <c r="Y84" t="str">
        <f t="shared" si="35"/>
        <v>Platinum</v>
      </c>
      <c r="Z84" t="str">
        <f t="shared" si="36"/>
        <v>B</v>
      </c>
      <c r="AA84" t="str">
        <f t="shared" si="37"/>
        <v>Good</v>
      </c>
      <c r="AB84" t="str">
        <f t="shared" si="38"/>
        <v>Expert</v>
      </c>
      <c r="AC84" t="str">
        <f t="shared" si="39"/>
        <v>Poor</v>
      </c>
      <c r="AD84" t="str">
        <f t="shared" si="40"/>
        <v>Best</v>
      </c>
      <c r="AE84" t="str" cm="1">
        <f t="array" ref="AE84">_xlfn.IFS(AND(D84&gt;9000, F84&gt;95), "Eligible Bonus", TRUE, "Not Eligible")</f>
        <v>Not Eligible</v>
      </c>
      <c r="AF84" s="11" t="str" cm="1">
        <f t="array" ref="AF84">IFERROR(_xlfn.IFS(AND(C84="Sales", E84&gt;120000), "Top Sales"),"- ")</f>
        <v xml:space="preserve">- </v>
      </c>
      <c r="AG84" s="11" t="str" cm="1">
        <f t="array" ref="AG84">IFERROR(_xlfn.IFS(AND(G84&gt;5, H84&gt;=4), "Promotion"),"- ")</f>
        <v xml:space="preserve">- </v>
      </c>
      <c r="AH84" s="11" t="str" cm="1">
        <f t="array" ref="AH84">IFERROR(_xlfn.IFS(OR(D84&gt;7000, F84&gt;85), "Review Required")," - ")</f>
        <v>Review Required</v>
      </c>
      <c r="AI84" s="11" t="str" cm="1">
        <f t="array" ref="AI84">IFERROR(_xlfn.IFS(OR(J84="Inactive", F84&gt;80), "HR Action")," - ")</f>
        <v>HR Action</v>
      </c>
      <c r="AJ84" s="11" t="str" cm="1">
        <f t="array" ref="AJ84">IFERROR(_xlfn.IFS(D84&gt;=12000,"High",D84&gt;=9000,"Medium"),"Low " )</f>
        <v>High</v>
      </c>
      <c r="AK84" t="str" cm="1">
        <f t="array" ref="AK84">IFERROR(_xlfn.IFS(F84&gt;=95,"Excellent",F84&gt;=90,"Good"),"Poor" )</f>
        <v>Good</v>
      </c>
      <c r="AL84" s="12" t="str" cm="1">
        <f t="array" ref="AL84">IFERROR(_xlfn.IFS(AND(C84="IT", H84=5,F84&gt;=90), "IT Star"), "- ")</f>
        <v xml:space="preserve">- </v>
      </c>
      <c r="AM84" s="11" t="str" cm="1">
        <f t="array" ref="AM84">IFERROR(_xlfn.IFS(OR(C84="Finance",C84="HR"),"Administration")," - ")</f>
        <v>Administration</v>
      </c>
      <c r="AN84" s="11" t="str" cm="1">
        <f t="array" ref="AN84">IFERROR(_xlfn.IFS(AND(E84&gt;100000,I84="Yes", H84&gt;=4), " Employee of Month"),"- ")</f>
        <v xml:space="preserve">- </v>
      </c>
    </row>
    <row r="85" spans="1:40" ht="15.6" x14ac:dyDescent="0.3">
      <c r="A85" t="s">
        <v>48</v>
      </c>
      <c r="B85" t="s">
        <v>11</v>
      </c>
      <c r="C85" t="s">
        <v>4</v>
      </c>
      <c r="D85">
        <v>12327</v>
      </c>
      <c r="E85">
        <v>69000</v>
      </c>
      <c r="F85">
        <v>90</v>
      </c>
      <c r="G85">
        <v>11</v>
      </c>
      <c r="H85">
        <v>3</v>
      </c>
      <c r="I85" t="s">
        <v>17</v>
      </c>
      <c r="J85" t="s">
        <v>13</v>
      </c>
      <c r="K85" t="str">
        <f t="shared" si="25"/>
        <v>High</v>
      </c>
      <c r="L85" t="str">
        <f t="shared" si="22"/>
        <v>Needs Improvement</v>
      </c>
      <c r="M85" t="str">
        <f t="shared" si="23"/>
        <v>Working</v>
      </c>
      <c r="N85" t="str">
        <f t="shared" si="24"/>
        <v>No Bonus</v>
      </c>
      <c r="O85" t="str">
        <f t="shared" si="26"/>
        <v>Senior</v>
      </c>
      <c r="P85" t="str">
        <f t="shared" si="27"/>
        <v>Normal</v>
      </c>
      <c r="Q85" t="str">
        <f t="shared" si="28"/>
        <v>Not Achieved</v>
      </c>
      <c r="R85" t="str">
        <f t="shared" si="29"/>
        <v>Sales Team</v>
      </c>
      <c r="S85" t="str">
        <f t="shared" si="30"/>
        <v>OK</v>
      </c>
      <c r="T85" t="str">
        <f>IF(Employee_Data!F85&lt;85,"Warning","Good")</f>
        <v>Good</v>
      </c>
      <c r="U85" t="str">
        <f t="shared" si="31"/>
        <v>Excellent</v>
      </c>
      <c r="V85" t="str">
        <f t="shared" si="32"/>
        <v>Good</v>
      </c>
      <c r="W85" t="str">
        <f t="shared" si="33"/>
        <v>Good</v>
      </c>
      <c r="X85" t="str">
        <f t="shared" si="34"/>
        <v>Exper</v>
      </c>
      <c r="Y85" t="str">
        <f t="shared" si="35"/>
        <v>Silver</v>
      </c>
      <c r="Z85" t="str">
        <f t="shared" si="36"/>
        <v>B</v>
      </c>
      <c r="AA85" t="str">
        <f t="shared" si="37"/>
        <v>Good</v>
      </c>
      <c r="AB85" t="str">
        <f t="shared" si="38"/>
        <v>Expert</v>
      </c>
      <c r="AC85" t="str">
        <f t="shared" si="39"/>
        <v>Average</v>
      </c>
      <c r="AD85" t="str">
        <f t="shared" si="40"/>
        <v>Low</v>
      </c>
      <c r="AE85" t="str" cm="1">
        <f t="array" ref="AE85">_xlfn.IFS(AND(D85&gt;9000, F85&gt;95), "Eligible Bonus", TRUE, "Not Eligible")</f>
        <v>Not Eligible</v>
      </c>
      <c r="AF85" s="11" t="str" cm="1">
        <f t="array" ref="AF85">IFERROR(_xlfn.IFS(AND(C85="Sales", E85&gt;120000), "Top Sales"),"- ")</f>
        <v xml:space="preserve">- </v>
      </c>
      <c r="AG85" s="11" t="str" cm="1">
        <f t="array" ref="AG85">IFERROR(_xlfn.IFS(AND(G85&gt;5, H85&gt;=4), "Promotion"),"- ")</f>
        <v xml:space="preserve">- </v>
      </c>
      <c r="AH85" s="11" t="str" cm="1">
        <f t="array" ref="AH85">IFERROR(_xlfn.IFS(OR(D85&gt;7000, F85&gt;85), "Review Required")," - ")</f>
        <v>Review Required</v>
      </c>
      <c r="AI85" s="11" t="str" cm="1">
        <f t="array" ref="AI85">IFERROR(_xlfn.IFS(OR(J85="Inactive", F85&gt;80), "HR Action")," - ")</f>
        <v>HR Action</v>
      </c>
      <c r="AJ85" s="11" t="str" cm="1">
        <f t="array" ref="AJ85">IFERROR(_xlfn.IFS(D85&gt;=12000,"High",D85&gt;=9000,"Medium"),"Low " )</f>
        <v>High</v>
      </c>
      <c r="AK85" t="str" cm="1">
        <f t="array" ref="AK85">IFERROR(_xlfn.IFS(F85&gt;=95,"Excellent",F85&gt;=90,"Good"),"Poor" )</f>
        <v>Good</v>
      </c>
      <c r="AL85" s="12" t="str" cm="1">
        <f t="array" ref="AL85">IFERROR(_xlfn.IFS(AND(C85="IT", H85=5,F85&gt;=90), "IT Star"), "- ")</f>
        <v xml:space="preserve">- </v>
      </c>
      <c r="AM85" s="11" t="str" cm="1">
        <f t="array" ref="AM85">IFERROR(_xlfn.IFS(OR(C85="Finance",C85="HR"),"Administration")," - ")</f>
        <v xml:space="preserve"> - </v>
      </c>
      <c r="AN85" s="11" t="str" cm="1">
        <f t="array" ref="AN85">IFERROR(_xlfn.IFS(AND(E85&gt;100000,I85="Yes", H85&gt;=4), " Employee of Month"),"- ")</f>
        <v xml:space="preserve">- </v>
      </c>
    </row>
    <row r="86" spans="1:40" ht="15.6" x14ac:dyDescent="0.3">
      <c r="A86" t="s">
        <v>69</v>
      </c>
      <c r="B86" t="s">
        <v>31</v>
      </c>
      <c r="C86" t="s">
        <v>16</v>
      </c>
      <c r="D86">
        <v>12378</v>
      </c>
      <c r="E86">
        <v>206000</v>
      </c>
      <c r="F86">
        <v>91</v>
      </c>
      <c r="G86">
        <v>5</v>
      </c>
      <c r="H86">
        <v>4</v>
      </c>
      <c r="I86" t="s">
        <v>12</v>
      </c>
      <c r="J86" t="s">
        <v>13</v>
      </c>
      <c r="K86" t="str">
        <f t="shared" si="25"/>
        <v>High</v>
      </c>
      <c r="L86" t="str">
        <f t="shared" si="22"/>
        <v>Needs Improvement</v>
      </c>
      <c r="M86" t="str">
        <f t="shared" si="23"/>
        <v>Working</v>
      </c>
      <c r="N86" t="str">
        <f t="shared" si="24"/>
        <v>Bonus</v>
      </c>
      <c r="O86" t="str">
        <f t="shared" si="26"/>
        <v>Senior</v>
      </c>
      <c r="P86" t="str">
        <f t="shared" si="27"/>
        <v>Normal</v>
      </c>
      <c r="Q86" t="str">
        <f t="shared" si="28"/>
        <v>Achieved</v>
      </c>
      <c r="R86" t="str">
        <f t="shared" si="29"/>
        <v>Other Team</v>
      </c>
      <c r="S86" t="str">
        <f t="shared" si="30"/>
        <v>OK</v>
      </c>
      <c r="T86" t="str">
        <f>IF(Employee_Data!F86&lt;85,"Warning","Good")</f>
        <v>Good</v>
      </c>
      <c r="U86" t="str">
        <f t="shared" si="31"/>
        <v>Excellent</v>
      </c>
      <c r="V86" t="str">
        <f t="shared" si="32"/>
        <v>Good</v>
      </c>
      <c r="W86" t="str">
        <f t="shared" si="33"/>
        <v>Very Good</v>
      </c>
      <c r="X86" t="str">
        <f t="shared" si="34"/>
        <v>Experienced</v>
      </c>
      <c r="Y86" t="str">
        <f t="shared" si="35"/>
        <v>Platinum</v>
      </c>
      <c r="Z86" t="str">
        <f t="shared" si="36"/>
        <v>B</v>
      </c>
      <c r="AA86" t="str">
        <f t="shared" si="37"/>
        <v>Good</v>
      </c>
      <c r="AB86" t="str">
        <f t="shared" si="38"/>
        <v>Senior</v>
      </c>
      <c r="AC86" t="str">
        <f t="shared" si="39"/>
        <v>Good</v>
      </c>
      <c r="AD86" t="str">
        <f t="shared" si="40"/>
        <v>Top</v>
      </c>
      <c r="AE86" t="str" cm="1">
        <f t="array" ref="AE86">_xlfn.IFS(AND(D86&gt;9000, F86&gt;95), "Eligible Bonus", TRUE, "Not Eligible")</f>
        <v>Not Eligible</v>
      </c>
      <c r="AF86" s="11" t="str" cm="1">
        <f t="array" ref="AF86">IFERROR(_xlfn.IFS(AND(C86="Sales", E86&gt;120000), "Top Sales"),"- ")</f>
        <v xml:space="preserve">- </v>
      </c>
      <c r="AG86" s="11" t="str" cm="1">
        <f t="array" ref="AG86">IFERROR(_xlfn.IFS(AND(G86&gt;5, H86&gt;=4), "Promotion"),"- ")</f>
        <v xml:space="preserve">- </v>
      </c>
      <c r="AH86" s="11" t="str" cm="1">
        <f t="array" ref="AH86">IFERROR(_xlfn.IFS(OR(D86&gt;7000, F86&gt;85), "Review Required")," - ")</f>
        <v>Review Required</v>
      </c>
      <c r="AI86" s="11" t="str" cm="1">
        <f t="array" ref="AI86">IFERROR(_xlfn.IFS(OR(J86="Inactive", F86&gt;80), "HR Action")," - ")</f>
        <v>HR Action</v>
      </c>
      <c r="AJ86" s="11" t="str" cm="1">
        <f t="array" ref="AJ86">IFERROR(_xlfn.IFS(D86&gt;=12000,"High",D86&gt;=9000,"Medium"),"Low " )</f>
        <v>High</v>
      </c>
      <c r="AK86" t="str" cm="1">
        <f t="array" ref="AK86">IFERROR(_xlfn.IFS(F86&gt;=95,"Excellent",F86&gt;=90,"Good"),"Poor" )</f>
        <v>Good</v>
      </c>
      <c r="AL86" s="12" t="str" cm="1">
        <f t="array" ref="AL86">IFERROR(_xlfn.IFS(AND(C86="IT", H86=5,F86&gt;=90), "IT Star"), "- ")</f>
        <v xml:space="preserve">- </v>
      </c>
      <c r="AM86" s="11" t="str" cm="1">
        <f t="array" ref="AM86">IFERROR(_xlfn.IFS(OR(C86="Finance",C86="HR"),"Administration")," - ")</f>
        <v>Administration</v>
      </c>
      <c r="AN86" s="11" t="str" cm="1">
        <f t="array" ref="AN86">IFERROR(_xlfn.IFS(AND(E86&gt;100000,I86="Yes", H86&gt;=4), " Employee of Month"),"- ")</f>
        <v xml:space="preserve"> Employee of Month</v>
      </c>
    </row>
    <row r="87" spans="1:40" ht="15.6" x14ac:dyDescent="0.3">
      <c r="A87" t="s">
        <v>90</v>
      </c>
      <c r="B87" t="s">
        <v>43</v>
      </c>
      <c r="C87" t="s">
        <v>20</v>
      </c>
      <c r="D87">
        <v>12429</v>
      </c>
      <c r="E87">
        <v>123000</v>
      </c>
      <c r="F87">
        <v>92</v>
      </c>
      <c r="G87">
        <v>11</v>
      </c>
      <c r="H87">
        <v>5</v>
      </c>
      <c r="I87" t="s">
        <v>17</v>
      </c>
      <c r="J87" t="s">
        <v>13</v>
      </c>
      <c r="K87" t="str">
        <f t="shared" si="25"/>
        <v>High</v>
      </c>
      <c r="L87" t="str">
        <f t="shared" si="22"/>
        <v>Needs Improvement</v>
      </c>
      <c r="M87" t="str">
        <f t="shared" si="23"/>
        <v>Working</v>
      </c>
      <c r="N87" t="str">
        <f t="shared" si="24"/>
        <v>Bonus</v>
      </c>
      <c r="O87" t="str">
        <f t="shared" si="26"/>
        <v>Senior</v>
      </c>
      <c r="P87" t="str">
        <f t="shared" si="27"/>
        <v>Outstanding</v>
      </c>
      <c r="Q87" t="str">
        <f t="shared" si="28"/>
        <v>Not Achieved</v>
      </c>
      <c r="R87" t="str">
        <f t="shared" si="29"/>
        <v>Other Team</v>
      </c>
      <c r="S87" t="str">
        <f t="shared" si="30"/>
        <v>OK</v>
      </c>
      <c r="T87" t="str">
        <f>IF(Employee_Data!F87&lt;85,"Warning","Good")</f>
        <v>Good</v>
      </c>
      <c r="U87" t="str">
        <f t="shared" si="31"/>
        <v>Excellent</v>
      </c>
      <c r="V87" t="str">
        <f t="shared" si="32"/>
        <v>Good</v>
      </c>
      <c r="W87" t="str">
        <f t="shared" si="33"/>
        <v>Outstanding</v>
      </c>
      <c r="X87" t="str">
        <f t="shared" si="34"/>
        <v>Exper</v>
      </c>
      <c r="Y87" t="str">
        <f t="shared" si="35"/>
        <v>Gold</v>
      </c>
      <c r="Z87" t="str">
        <f t="shared" si="36"/>
        <v>B</v>
      </c>
      <c r="AA87" t="str">
        <f t="shared" si="37"/>
        <v>Good</v>
      </c>
      <c r="AB87" t="str">
        <f t="shared" si="38"/>
        <v>Expert</v>
      </c>
      <c r="AC87" t="str">
        <f t="shared" si="39"/>
        <v>Excellent</v>
      </c>
      <c r="AD87" t="str">
        <f t="shared" si="40"/>
        <v>Best</v>
      </c>
      <c r="AE87" t="str" cm="1">
        <f t="array" ref="AE87">_xlfn.IFS(AND(D87&gt;9000, F87&gt;95), "Eligible Bonus", TRUE, "Not Eligible")</f>
        <v>Not Eligible</v>
      </c>
      <c r="AF87" s="11" t="str" cm="1">
        <f t="array" ref="AF87">IFERROR(_xlfn.IFS(AND(C87="Sales", E87&gt;120000), "Top Sales"),"- ")</f>
        <v xml:space="preserve">- </v>
      </c>
      <c r="AG87" s="11" t="str" cm="1">
        <f t="array" ref="AG87">IFERROR(_xlfn.IFS(AND(G87&gt;5, H87&gt;=4), "Promotion"),"- ")</f>
        <v>Promotion</v>
      </c>
      <c r="AH87" s="11" t="str" cm="1">
        <f t="array" ref="AH87">IFERROR(_xlfn.IFS(OR(D87&gt;7000, F87&gt;85), "Review Required")," - ")</f>
        <v>Review Required</v>
      </c>
      <c r="AI87" s="11" t="str" cm="1">
        <f t="array" ref="AI87">IFERROR(_xlfn.IFS(OR(J87="Inactive", F87&gt;80), "HR Action")," - ")</f>
        <v>HR Action</v>
      </c>
      <c r="AJ87" s="11" t="str" cm="1">
        <f t="array" ref="AJ87">IFERROR(_xlfn.IFS(D87&gt;=12000,"High",D87&gt;=9000,"Medium"),"Low " )</f>
        <v>High</v>
      </c>
      <c r="AK87" t="str" cm="1">
        <f t="array" ref="AK87">IFERROR(_xlfn.IFS(F87&gt;=95,"Excellent",F87&gt;=90,"Good"),"Poor" )</f>
        <v>Good</v>
      </c>
      <c r="AL87" s="12" t="str" cm="1">
        <f t="array" ref="AL87">IFERROR(_xlfn.IFS(AND(C87="IT", H87=5,F87&gt;=90), "IT Star"), "- ")</f>
        <v>IT Star</v>
      </c>
      <c r="AM87" s="11" t="str" cm="1">
        <f t="array" ref="AM87">IFERROR(_xlfn.IFS(OR(C87="Finance",C87="HR"),"Administration")," - ")</f>
        <v xml:space="preserve"> - </v>
      </c>
      <c r="AN87" s="11" t="str" cm="1">
        <f t="array" ref="AN87">IFERROR(_xlfn.IFS(AND(E87&gt;100000,I87="Yes", H87&gt;=4), " Employee of Month"),"- ")</f>
        <v xml:space="preserve">- </v>
      </c>
    </row>
    <row r="88" spans="1:40" ht="15.6" x14ac:dyDescent="0.3">
      <c r="A88" t="s">
        <v>111</v>
      </c>
      <c r="B88" t="s">
        <v>22</v>
      </c>
      <c r="C88" t="s">
        <v>23</v>
      </c>
      <c r="D88">
        <v>12480</v>
      </c>
      <c r="E88">
        <v>40000</v>
      </c>
      <c r="F88">
        <v>93</v>
      </c>
      <c r="G88">
        <v>5</v>
      </c>
      <c r="H88">
        <v>1</v>
      </c>
      <c r="I88" t="s">
        <v>12</v>
      </c>
      <c r="J88" t="s">
        <v>13</v>
      </c>
      <c r="K88" t="str">
        <f t="shared" si="25"/>
        <v>High</v>
      </c>
      <c r="L88" t="str">
        <f t="shared" si="22"/>
        <v>Needs Improvement</v>
      </c>
      <c r="M88" t="str">
        <f t="shared" si="23"/>
        <v>Working</v>
      </c>
      <c r="N88" t="str">
        <f t="shared" si="24"/>
        <v>No Bonus</v>
      </c>
      <c r="O88" t="str">
        <f t="shared" si="26"/>
        <v>Senior</v>
      </c>
      <c r="P88" t="str">
        <f t="shared" si="27"/>
        <v>Normal</v>
      </c>
      <c r="Q88" t="str">
        <f t="shared" si="28"/>
        <v>Achieved</v>
      </c>
      <c r="R88" t="str">
        <f t="shared" si="29"/>
        <v>Other Team</v>
      </c>
      <c r="S88" t="str">
        <f t="shared" si="30"/>
        <v>OK</v>
      </c>
      <c r="T88" t="str">
        <f>IF(Employee_Data!F88&lt;85,"Warning","Good")</f>
        <v>Good</v>
      </c>
      <c r="U88" t="str">
        <f t="shared" si="31"/>
        <v>Excellent</v>
      </c>
      <c r="V88" t="str">
        <f t="shared" si="32"/>
        <v>Good</v>
      </c>
      <c r="W88" t="str">
        <f t="shared" si="33"/>
        <v>Needs Improvement</v>
      </c>
      <c r="X88" t="str">
        <f t="shared" si="34"/>
        <v>Experienced</v>
      </c>
      <c r="Y88" t="str">
        <f t="shared" si="35"/>
        <v>Silver</v>
      </c>
      <c r="Z88" t="str">
        <f t="shared" si="36"/>
        <v>B</v>
      </c>
      <c r="AA88" t="str">
        <f t="shared" si="37"/>
        <v>Good</v>
      </c>
      <c r="AB88" t="str">
        <f t="shared" si="38"/>
        <v>Senior</v>
      </c>
      <c r="AC88" t="str">
        <f t="shared" si="39"/>
        <v>Poor</v>
      </c>
      <c r="AD88" t="str">
        <f t="shared" si="40"/>
        <v>Low</v>
      </c>
      <c r="AE88" t="str" cm="1">
        <f t="array" ref="AE88">_xlfn.IFS(AND(D88&gt;9000, F88&gt;95), "Eligible Bonus", TRUE, "Not Eligible")</f>
        <v>Not Eligible</v>
      </c>
      <c r="AF88" s="11" t="str" cm="1">
        <f t="array" ref="AF88">IFERROR(_xlfn.IFS(AND(C88="Sales", E88&gt;120000), "Top Sales"),"- ")</f>
        <v xml:space="preserve">- </v>
      </c>
      <c r="AG88" s="11" t="str" cm="1">
        <f t="array" ref="AG88">IFERROR(_xlfn.IFS(AND(G88&gt;5, H88&gt;=4), "Promotion"),"- ")</f>
        <v xml:space="preserve">- </v>
      </c>
      <c r="AH88" s="11" t="str" cm="1">
        <f t="array" ref="AH88">IFERROR(_xlfn.IFS(OR(D88&gt;7000, F88&gt;85), "Review Required")," - ")</f>
        <v>Review Required</v>
      </c>
      <c r="AI88" s="11" t="str" cm="1">
        <f t="array" ref="AI88">IFERROR(_xlfn.IFS(OR(J88="Inactive", F88&gt;80), "HR Action")," - ")</f>
        <v>HR Action</v>
      </c>
      <c r="AJ88" s="11" t="str" cm="1">
        <f t="array" ref="AJ88">IFERROR(_xlfn.IFS(D88&gt;=12000,"High",D88&gt;=9000,"Medium"),"Low " )</f>
        <v>High</v>
      </c>
      <c r="AK88" t="str" cm="1">
        <f t="array" ref="AK88">IFERROR(_xlfn.IFS(F88&gt;=95,"Excellent",F88&gt;=90,"Good"),"Poor" )</f>
        <v>Good</v>
      </c>
      <c r="AL88" s="12" t="str" cm="1">
        <f t="array" ref="AL88">IFERROR(_xlfn.IFS(AND(C88="IT", H88=5,F88&gt;=90), "IT Star"), "- ")</f>
        <v xml:space="preserve">- </v>
      </c>
      <c r="AM88" s="11" t="str" cm="1">
        <f t="array" ref="AM88">IFERROR(_xlfn.IFS(OR(C88="Finance",C88="HR"),"Administration")," - ")</f>
        <v>Administration</v>
      </c>
      <c r="AN88" s="11" t="str" cm="1">
        <f t="array" ref="AN88">IFERROR(_xlfn.IFS(AND(E88&gt;100000,I88="Yes", H88&gt;=4), " Employee of Month"),"- ")</f>
        <v xml:space="preserve">- </v>
      </c>
    </row>
    <row r="89" spans="1:40" ht="15.6" x14ac:dyDescent="0.3">
      <c r="A89" t="s">
        <v>132</v>
      </c>
      <c r="B89" t="s">
        <v>37</v>
      </c>
      <c r="C89" t="s">
        <v>26</v>
      </c>
      <c r="D89">
        <v>12531</v>
      </c>
      <c r="E89">
        <v>177000</v>
      </c>
      <c r="F89">
        <v>94</v>
      </c>
      <c r="G89">
        <v>11</v>
      </c>
      <c r="H89">
        <v>2</v>
      </c>
      <c r="I89" t="s">
        <v>17</v>
      </c>
      <c r="J89" t="s">
        <v>13</v>
      </c>
      <c r="K89" t="str">
        <f t="shared" si="25"/>
        <v>High</v>
      </c>
      <c r="L89" t="str">
        <f t="shared" si="22"/>
        <v>Needs Improvement</v>
      </c>
      <c r="M89" t="str">
        <f t="shared" si="23"/>
        <v>Working</v>
      </c>
      <c r="N89" t="str">
        <f t="shared" si="24"/>
        <v>Bonus</v>
      </c>
      <c r="O89" t="str">
        <f t="shared" si="26"/>
        <v>Senior</v>
      </c>
      <c r="P89" t="str">
        <f t="shared" si="27"/>
        <v>Normal</v>
      </c>
      <c r="Q89" t="str">
        <f t="shared" si="28"/>
        <v>Not Achieved</v>
      </c>
      <c r="R89" t="str">
        <f t="shared" si="29"/>
        <v>Other Team</v>
      </c>
      <c r="S89" t="str">
        <f t="shared" si="30"/>
        <v>OK</v>
      </c>
      <c r="T89" t="str">
        <f>IF(Employee_Data!F89&lt;85,"Warning","Good")</f>
        <v>Good</v>
      </c>
      <c r="U89" t="str">
        <f t="shared" si="31"/>
        <v>Excellent</v>
      </c>
      <c r="V89" t="str">
        <f t="shared" si="32"/>
        <v>Good</v>
      </c>
      <c r="W89" t="str">
        <f t="shared" si="33"/>
        <v>Needs Improvement</v>
      </c>
      <c r="X89" t="str">
        <f t="shared" si="34"/>
        <v>Exper</v>
      </c>
      <c r="Y89" t="str">
        <f t="shared" si="35"/>
        <v>Platinum</v>
      </c>
      <c r="Z89" t="str">
        <f t="shared" si="36"/>
        <v>B</v>
      </c>
      <c r="AA89" t="str">
        <f t="shared" si="37"/>
        <v>Good</v>
      </c>
      <c r="AB89" t="str">
        <f t="shared" si="38"/>
        <v>Expert</v>
      </c>
      <c r="AC89" t="str">
        <f t="shared" si="39"/>
        <v>Average</v>
      </c>
      <c r="AD89" t="str">
        <f t="shared" si="40"/>
        <v>Best</v>
      </c>
      <c r="AE89" t="str" cm="1">
        <f t="array" ref="AE89">_xlfn.IFS(AND(D89&gt;9000, F89&gt;95), "Eligible Bonus", TRUE, "Not Eligible")</f>
        <v>Not Eligible</v>
      </c>
      <c r="AF89" s="11" t="str" cm="1">
        <f t="array" ref="AF89">IFERROR(_xlfn.IFS(AND(C89="Sales", E89&gt;120000), "Top Sales"),"- ")</f>
        <v xml:space="preserve">- </v>
      </c>
      <c r="AG89" s="11" t="str" cm="1">
        <f t="array" ref="AG89">IFERROR(_xlfn.IFS(AND(G89&gt;5, H89&gt;=4), "Promotion"),"- ")</f>
        <v xml:space="preserve">- </v>
      </c>
      <c r="AH89" s="11" t="str" cm="1">
        <f t="array" ref="AH89">IFERROR(_xlfn.IFS(OR(D89&gt;7000, F89&gt;85), "Review Required")," - ")</f>
        <v>Review Required</v>
      </c>
      <c r="AI89" s="11" t="str" cm="1">
        <f t="array" ref="AI89">IFERROR(_xlfn.IFS(OR(J89="Inactive", F89&gt;80), "HR Action")," - ")</f>
        <v>HR Action</v>
      </c>
      <c r="AJ89" s="11" t="str" cm="1">
        <f t="array" ref="AJ89">IFERROR(_xlfn.IFS(D89&gt;=12000,"High",D89&gt;=9000,"Medium"),"Low " )</f>
        <v>High</v>
      </c>
      <c r="AK89" t="str" cm="1">
        <f t="array" ref="AK89">IFERROR(_xlfn.IFS(F89&gt;=95,"Excellent",F89&gt;=90,"Good"),"Poor" )</f>
        <v>Good</v>
      </c>
      <c r="AL89" s="12" t="str" cm="1">
        <f t="array" ref="AL89">IFERROR(_xlfn.IFS(AND(C89="IT", H89=5,F89&gt;=90), "IT Star"), "- ")</f>
        <v xml:space="preserve">- </v>
      </c>
      <c r="AM89" s="11" t="str" cm="1">
        <f t="array" ref="AM89">IFERROR(_xlfn.IFS(OR(C89="Finance",C89="HR"),"Administration")," - ")</f>
        <v xml:space="preserve"> - </v>
      </c>
      <c r="AN89" s="11" t="str" cm="1">
        <f t="array" ref="AN89">IFERROR(_xlfn.IFS(AND(E89&gt;100000,I89="Yes", H89&gt;=4), " Employee of Month"),"- ")</f>
        <v xml:space="preserve">- </v>
      </c>
    </row>
    <row r="90" spans="1:40" ht="15.6" x14ac:dyDescent="0.3">
      <c r="A90" t="s">
        <v>49</v>
      </c>
      <c r="B90" t="s">
        <v>15</v>
      </c>
      <c r="C90" t="s">
        <v>16</v>
      </c>
      <c r="D90">
        <v>12758</v>
      </c>
      <c r="E90">
        <v>86000</v>
      </c>
      <c r="F90">
        <v>93</v>
      </c>
      <c r="G90">
        <v>1</v>
      </c>
      <c r="H90">
        <v>4</v>
      </c>
      <c r="I90" t="s">
        <v>12</v>
      </c>
      <c r="J90" t="s">
        <v>13</v>
      </c>
      <c r="K90" t="str">
        <f t="shared" si="25"/>
        <v>High</v>
      </c>
      <c r="L90" t="str">
        <f t="shared" si="22"/>
        <v>Needs Improvement</v>
      </c>
      <c r="M90" t="str">
        <f t="shared" si="23"/>
        <v>Working</v>
      </c>
      <c r="N90" t="str">
        <f t="shared" si="24"/>
        <v>No Bonus</v>
      </c>
      <c r="O90" t="str">
        <f t="shared" si="26"/>
        <v>Junior</v>
      </c>
      <c r="P90" t="str">
        <f t="shared" si="27"/>
        <v>Normal</v>
      </c>
      <c r="Q90" t="str">
        <f t="shared" si="28"/>
        <v>Achieved</v>
      </c>
      <c r="R90" t="str">
        <f t="shared" si="29"/>
        <v>Other Team</v>
      </c>
      <c r="S90" t="str">
        <f t="shared" si="30"/>
        <v>OK</v>
      </c>
      <c r="T90" t="str">
        <f>IF(Employee_Data!F90&lt;85,"Warning","Good")</f>
        <v>Good</v>
      </c>
      <c r="U90" t="str">
        <f t="shared" si="31"/>
        <v>Excellent</v>
      </c>
      <c r="V90" t="str">
        <f t="shared" si="32"/>
        <v>Good</v>
      </c>
      <c r="W90" t="str">
        <f t="shared" si="33"/>
        <v>Very Good</v>
      </c>
      <c r="X90" t="str">
        <f t="shared" si="34"/>
        <v>Beginner</v>
      </c>
      <c r="Y90" t="str">
        <f t="shared" si="35"/>
        <v>Silver</v>
      </c>
      <c r="Z90" t="str">
        <f t="shared" si="36"/>
        <v>B</v>
      </c>
      <c r="AA90" t="str">
        <f t="shared" si="37"/>
        <v>Good</v>
      </c>
      <c r="AB90" t="str">
        <f t="shared" si="38"/>
        <v>Junior</v>
      </c>
      <c r="AC90" t="str">
        <f t="shared" si="39"/>
        <v>Good</v>
      </c>
      <c r="AD90" t="str">
        <f t="shared" si="40"/>
        <v>Good</v>
      </c>
      <c r="AE90" t="str" cm="1">
        <f t="array" ref="AE90">_xlfn.IFS(AND(D90&gt;9000, F90&gt;95), "Eligible Bonus", TRUE, "Not Eligible")</f>
        <v>Not Eligible</v>
      </c>
      <c r="AF90" s="11" t="str" cm="1">
        <f t="array" ref="AF90">IFERROR(_xlfn.IFS(AND(C90="Sales", E90&gt;120000), "Top Sales"),"- ")</f>
        <v xml:space="preserve">- </v>
      </c>
      <c r="AG90" s="11" t="str" cm="1">
        <f t="array" ref="AG90">IFERROR(_xlfn.IFS(AND(G90&gt;5, H90&gt;=4), "Promotion"),"- ")</f>
        <v xml:space="preserve">- </v>
      </c>
      <c r="AH90" s="11" t="str" cm="1">
        <f t="array" ref="AH90">IFERROR(_xlfn.IFS(OR(D90&gt;7000, F90&gt;85), "Review Required")," - ")</f>
        <v>Review Required</v>
      </c>
      <c r="AI90" s="11" t="str" cm="1">
        <f t="array" ref="AI90">IFERROR(_xlfn.IFS(OR(J90="Inactive", F90&gt;80), "HR Action")," - ")</f>
        <v>HR Action</v>
      </c>
      <c r="AJ90" s="11" t="str" cm="1">
        <f t="array" ref="AJ90">IFERROR(_xlfn.IFS(D90&gt;=12000,"High",D90&gt;=9000,"Medium"),"Low " )</f>
        <v>High</v>
      </c>
      <c r="AK90" t="str" cm="1">
        <f t="array" ref="AK90">IFERROR(_xlfn.IFS(F90&gt;=95,"Excellent",F90&gt;=90,"Good"),"Poor" )</f>
        <v>Good</v>
      </c>
      <c r="AL90" s="12" t="str" cm="1">
        <f t="array" ref="AL90">IFERROR(_xlfn.IFS(AND(C90="IT", H90=5,F90&gt;=90), "IT Star"), "- ")</f>
        <v xml:space="preserve">- </v>
      </c>
      <c r="AM90" s="11" t="str" cm="1">
        <f t="array" ref="AM90">IFERROR(_xlfn.IFS(OR(C90="Finance",C90="HR"),"Administration")," - ")</f>
        <v>Administration</v>
      </c>
      <c r="AN90" s="11" t="str" cm="1">
        <f t="array" ref="AN90">IFERROR(_xlfn.IFS(AND(E90&gt;100000,I90="Yes", H90&gt;=4), " Employee of Month"),"- ")</f>
        <v xml:space="preserve">- </v>
      </c>
    </row>
    <row r="91" spans="1:40" ht="15.6" x14ac:dyDescent="0.3">
      <c r="A91" t="s">
        <v>70</v>
      </c>
      <c r="B91" t="s">
        <v>33</v>
      </c>
      <c r="C91" t="s">
        <v>20</v>
      </c>
      <c r="D91">
        <v>12809</v>
      </c>
      <c r="E91">
        <v>3000</v>
      </c>
      <c r="F91">
        <v>94</v>
      </c>
      <c r="G91">
        <v>7</v>
      </c>
      <c r="H91">
        <v>5</v>
      </c>
      <c r="I91" t="s">
        <v>17</v>
      </c>
      <c r="J91" t="s">
        <v>13</v>
      </c>
      <c r="K91" t="str">
        <f t="shared" si="25"/>
        <v>High</v>
      </c>
      <c r="L91" t="str">
        <f t="shared" si="22"/>
        <v>Needs Improvement</v>
      </c>
      <c r="M91" t="str">
        <f t="shared" si="23"/>
        <v>Working</v>
      </c>
      <c r="N91" t="str">
        <f t="shared" si="24"/>
        <v>No Bonus</v>
      </c>
      <c r="O91" t="str">
        <f t="shared" si="26"/>
        <v>Senior</v>
      </c>
      <c r="P91" t="str">
        <f t="shared" si="27"/>
        <v>Outstanding</v>
      </c>
      <c r="Q91" t="str">
        <f t="shared" si="28"/>
        <v>Not Achieved</v>
      </c>
      <c r="R91" t="str">
        <f t="shared" si="29"/>
        <v>Other Team</v>
      </c>
      <c r="S91" t="str">
        <f t="shared" si="30"/>
        <v>OK</v>
      </c>
      <c r="T91" t="str">
        <f>IF(Employee_Data!F91&lt;85,"Warning","Good")</f>
        <v>Good</v>
      </c>
      <c r="U91" t="str">
        <f t="shared" si="31"/>
        <v>Excellent</v>
      </c>
      <c r="V91" t="str">
        <f t="shared" si="32"/>
        <v>Good</v>
      </c>
      <c r="W91" t="str">
        <f t="shared" si="33"/>
        <v>Outstanding</v>
      </c>
      <c r="X91" t="str">
        <f t="shared" si="34"/>
        <v>Experienced</v>
      </c>
      <c r="Y91" t="str">
        <f t="shared" si="35"/>
        <v>Silver</v>
      </c>
      <c r="Z91" t="str">
        <f t="shared" si="36"/>
        <v>B</v>
      </c>
      <c r="AA91" t="str">
        <f t="shared" si="37"/>
        <v>Good</v>
      </c>
      <c r="AB91" t="str">
        <f t="shared" si="38"/>
        <v>Senior</v>
      </c>
      <c r="AC91" t="str">
        <f t="shared" si="39"/>
        <v>Excellent</v>
      </c>
      <c r="AD91" t="str">
        <f t="shared" si="40"/>
        <v>Low</v>
      </c>
      <c r="AE91" t="str" cm="1">
        <f t="array" ref="AE91">_xlfn.IFS(AND(D91&gt;9000, F91&gt;95), "Eligible Bonus", TRUE, "Not Eligible")</f>
        <v>Not Eligible</v>
      </c>
      <c r="AF91" s="11" t="str" cm="1">
        <f t="array" ref="AF91">IFERROR(_xlfn.IFS(AND(C91="Sales", E91&gt;120000), "Top Sales"),"- ")</f>
        <v xml:space="preserve">- </v>
      </c>
      <c r="AG91" s="11" t="str" cm="1">
        <f t="array" ref="AG91">IFERROR(_xlfn.IFS(AND(G91&gt;5, H91&gt;=4), "Promotion"),"- ")</f>
        <v>Promotion</v>
      </c>
      <c r="AH91" s="11" t="str" cm="1">
        <f t="array" ref="AH91">IFERROR(_xlfn.IFS(OR(D91&gt;7000, F91&gt;85), "Review Required")," - ")</f>
        <v>Review Required</v>
      </c>
      <c r="AI91" s="11" t="str" cm="1">
        <f t="array" ref="AI91">IFERROR(_xlfn.IFS(OR(J91="Inactive", F91&gt;80), "HR Action")," - ")</f>
        <v>HR Action</v>
      </c>
      <c r="AJ91" s="11" t="str" cm="1">
        <f t="array" ref="AJ91">IFERROR(_xlfn.IFS(D91&gt;=12000,"High",D91&gt;=9000,"Medium"),"Low " )</f>
        <v>High</v>
      </c>
      <c r="AK91" t="str" cm="1">
        <f t="array" ref="AK91">IFERROR(_xlfn.IFS(F91&gt;=95,"Excellent",F91&gt;=90,"Good"),"Poor" )</f>
        <v>Good</v>
      </c>
      <c r="AL91" s="12" t="str" cm="1">
        <f t="array" ref="AL91">IFERROR(_xlfn.IFS(AND(C91="IT", H91=5,F91&gt;=90), "IT Star"), "- ")</f>
        <v>IT Star</v>
      </c>
      <c r="AM91" s="11" t="str" cm="1">
        <f t="array" ref="AM91">IFERROR(_xlfn.IFS(OR(C91="Finance",C91="HR"),"Administration")," - ")</f>
        <v xml:space="preserve"> - </v>
      </c>
      <c r="AN91" s="11" t="str" cm="1">
        <f t="array" ref="AN91">IFERROR(_xlfn.IFS(AND(E91&gt;100000,I91="Yes", H91&gt;=4), " Employee of Month"),"- ")</f>
        <v xml:space="preserve">- </v>
      </c>
    </row>
    <row r="92" spans="1:40" ht="15.6" x14ac:dyDescent="0.3">
      <c r="A92" t="s">
        <v>91</v>
      </c>
      <c r="B92" t="s">
        <v>45</v>
      </c>
      <c r="C92" t="s">
        <v>23</v>
      </c>
      <c r="D92">
        <v>12860</v>
      </c>
      <c r="E92">
        <v>140000</v>
      </c>
      <c r="F92">
        <v>95</v>
      </c>
      <c r="G92">
        <v>1</v>
      </c>
      <c r="H92">
        <v>1</v>
      </c>
      <c r="I92" t="s">
        <v>12</v>
      </c>
      <c r="J92" t="s">
        <v>13</v>
      </c>
      <c r="K92" t="str">
        <f t="shared" si="25"/>
        <v>High</v>
      </c>
      <c r="L92" t="str">
        <f t="shared" si="22"/>
        <v>Excellent</v>
      </c>
      <c r="M92" t="str">
        <f t="shared" si="23"/>
        <v>Working</v>
      </c>
      <c r="N92" t="str">
        <f t="shared" si="24"/>
        <v>Bonus</v>
      </c>
      <c r="O92" t="str">
        <f t="shared" si="26"/>
        <v>Junior</v>
      </c>
      <c r="P92" t="str">
        <f t="shared" si="27"/>
        <v>Normal</v>
      </c>
      <c r="Q92" t="str">
        <f t="shared" si="28"/>
        <v>Achieved</v>
      </c>
      <c r="R92" t="str">
        <f t="shared" si="29"/>
        <v>Other Team</v>
      </c>
      <c r="S92" t="str">
        <f t="shared" si="30"/>
        <v>OK</v>
      </c>
      <c r="T92" t="str">
        <f>IF(Employee_Data!F92&lt;85,"Warning","Good")</f>
        <v>Good</v>
      </c>
      <c r="U92" t="str">
        <f t="shared" si="31"/>
        <v>Excellent</v>
      </c>
      <c r="V92" t="str">
        <f t="shared" si="32"/>
        <v>Excellent</v>
      </c>
      <c r="W92" t="str">
        <f t="shared" si="33"/>
        <v>Needs Improvement</v>
      </c>
      <c r="X92" t="str">
        <f t="shared" si="34"/>
        <v>Beginner</v>
      </c>
      <c r="Y92" t="str">
        <f t="shared" si="35"/>
        <v>Gold</v>
      </c>
      <c r="Z92" t="str">
        <f t="shared" si="36"/>
        <v>B</v>
      </c>
      <c r="AA92" t="str">
        <f t="shared" si="37"/>
        <v>Perfect</v>
      </c>
      <c r="AB92" t="str">
        <f t="shared" si="38"/>
        <v>Junior</v>
      </c>
      <c r="AC92" t="str">
        <f t="shared" si="39"/>
        <v>Poor</v>
      </c>
      <c r="AD92" t="str">
        <f t="shared" si="40"/>
        <v>Best</v>
      </c>
      <c r="AE92" t="str" cm="1">
        <f t="array" ref="AE92">_xlfn.IFS(AND(D92&gt;9000, F92&gt;95), "Eligible Bonus", TRUE, "Not Eligible")</f>
        <v>Not Eligible</v>
      </c>
      <c r="AF92" s="11" t="str" cm="1">
        <f t="array" ref="AF92">IFERROR(_xlfn.IFS(AND(C92="Sales", E92&gt;120000), "Top Sales"),"- ")</f>
        <v xml:space="preserve">- </v>
      </c>
      <c r="AG92" s="11" t="str" cm="1">
        <f t="array" ref="AG92">IFERROR(_xlfn.IFS(AND(G92&gt;5, H92&gt;=4), "Promotion"),"- ")</f>
        <v xml:space="preserve">- </v>
      </c>
      <c r="AH92" s="11" t="str" cm="1">
        <f t="array" ref="AH92">IFERROR(_xlfn.IFS(OR(D92&gt;7000, F92&gt;85), "Review Required")," - ")</f>
        <v>Review Required</v>
      </c>
      <c r="AI92" s="11" t="str" cm="1">
        <f t="array" ref="AI92">IFERROR(_xlfn.IFS(OR(J92="Inactive", F92&gt;80), "HR Action")," - ")</f>
        <v>HR Action</v>
      </c>
      <c r="AJ92" s="11" t="str" cm="1">
        <f t="array" ref="AJ92">IFERROR(_xlfn.IFS(D92&gt;=12000,"High",D92&gt;=9000,"Medium"),"Low " )</f>
        <v>High</v>
      </c>
      <c r="AK92" t="str" cm="1">
        <f t="array" ref="AK92">IFERROR(_xlfn.IFS(F92&gt;=95,"Excellent",F92&gt;=90,"Good"),"Poor" )</f>
        <v>Excellent</v>
      </c>
      <c r="AL92" s="12" t="str" cm="1">
        <f t="array" ref="AL92">IFERROR(_xlfn.IFS(AND(C92="IT", H92=5,F92&gt;=90), "IT Star"), "- ")</f>
        <v xml:space="preserve">- </v>
      </c>
      <c r="AM92" s="11" t="str" cm="1">
        <f t="array" ref="AM92">IFERROR(_xlfn.IFS(OR(C92="Finance",C92="HR"),"Administration")," - ")</f>
        <v>Administration</v>
      </c>
      <c r="AN92" s="11" t="str" cm="1">
        <f t="array" ref="AN92">IFERROR(_xlfn.IFS(AND(E92&gt;100000,I92="Yes", H92&gt;=4), " Employee of Month"),"- ")</f>
        <v xml:space="preserve">- </v>
      </c>
    </row>
    <row r="93" spans="1:40" ht="15.6" x14ac:dyDescent="0.3">
      <c r="A93" t="s">
        <v>112</v>
      </c>
      <c r="B93" t="s">
        <v>25</v>
      </c>
      <c r="C93" t="s">
        <v>26</v>
      </c>
      <c r="D93">
        <v>12911</v>
      </c>
      <c r="E93">
        <v>57000</v>
      </c>
      <c r="F93">
        <v>96</v>
      </c>
      <c r="G93">
        <v>7</v>
      </c>
      <c r="H93">
        <v>2</v>
      </c>
      <c r="I93" t="s">
        <v>17</v>
      </c>
      <c r="J93" t="s">
        <v>13</v>
      </c>
      <c r="K93" t="str">
        <f t="shared" si="25"/>
        <v>High</v>
      </c>
      <c r="L93" t="str">
        <f t="shared" si="22"/>
        <v>Excellent</v>
      </c>
      <c r="M93" t="str">
        <f t="shared" si="23"/>
        <v>Working</v>
      </c>
      <c r="N93" t="str">
        <f t="shared" si="24"/>
        <v>No Bonus</v>
      </c>
      <c r="O93" t="str">
        <f t="shared" si="26"/>
        <v>Senior</v>
      </c>
      <c r="P93" t="str">
        <f t="shared" si="27"/>
        <v>Normal</v>
      </c>
      <c r="Q93" t="str">
        <f t="shared" si="28"/>
        <v>Not Achieved</v>
      </c>
      <c r="R93" t="str">
        <f t="shared" si="29"/>
        <v>Other Team</v>
      </c>
      <c r="S93" t="str">
        <f t="shared" si="30"/>
        <v>OK</v>
      </c>
      <c r="T93" t="str">
        <f>IF(Employee_Data!F93&lt;85,"Warning","Good")</f>
        <v>Good</v>
      </c>
      <c r="U93" t="str">
        <f t="shared" si="31"/>
        <v>Excellent</v>
      </c>
      <c r="V93" t="str">
        <f t="shared" si="32"/>
        <v>Excellent</v>
      </c>
      <c r="W93" t="str">
        <f t="shared" si="33"/>
        <v>Needs Improvement</v>
      </c>
      <c r="X93" t="str">
        <f t="shared" si="34"/>
        <v>Experienced</v>
      </c>
      <c r="Y93" t="str">
        <f t="shared" si="35"/>
        <v>Silver</v>
      </c>
      <c r="Z93" t="str">
        <f t="shared" si="36"/>
        <v>B</v>
      </c>
      <c r="AA93" t="str">
        <f t="shared" si="37"/>
        <v>Perfect</v>
      </c>
      <c r="AB93" t="str">
        <f t="shared" si="38"/>
        <v>Senior</v>
      </c>
      <c r="AC93" t="str">
        <f t="shared" si="39"/>
        <v>Average</v>
      </c>
      <c r="AD93" t="str">
        <f t="shared" si="40"/>
        <v>Low</v>
      </c>
      <c r="AE93" t="str" cm="1">
        <f t="array" ref="AE93">_xlfn.IFS(AND(D93&gt;9000, F93&gt;95), "Eligible Bonus", TRUE, "Not Eligible")</f>
        <v>Eligible Bonus</v>
      </c>
      <c r="AF93" s="11" t="str" cm="1">
        <f t="array" ref="AF93">IFERROR(_xlfn.IFS(AND(C93="Sales", E93&gt;120000), "Top Sales"),"- ")</f>
        <v xml:space="preserve">- </v>
      </c>
      <c r="AG93" s="11" t="str" cm="1">
        <f t="array" ref="AG93">IFERROR(_xlfn.IFS(AND(G93&gt;5, H93&gt;=4), "Promotion"),"- ")</f>
        <v xml:space="preserve">- </v>
      </c>
      <c r="AH93" s="11" t="str" cm="1">
        <f t="array" ref="AH93">IFERROR(_xlfn.IFS(OR(D93&gt;7000, F93&gt;85), "Review Required")," - ")</f>
        <v>Review Required</v>
      </c>
      <c r="AI93" s="11" t="str" cm="1">
        <f t="array" ref="AI93">IFERROR(_xlfn.IFS(OR(J93="Inactive", F93&gt;80), "HR Action")," - ")</f>
        <v>HR Action</v>
      </c>
      <c r="AJ93" s="11" t="str" cm="1">
        <f t="array" ref="AJ93">IFERROR(_xlfn.IFS(D93&gt;=12000,"High",D93&gt;=9000,"Medium"),"Low " )</f>
        <v>High</v>
      </c>
      <c r="AK93" t="str" cm="1">
        <f t="array" ref="AK93">IFERROR(_xlfn.IFS(F93&gt;=95,"Excellent",F93&gt;=90,"Good"),"Poor" )</f>
        <v>Excellent</v>
      </c>
      <c r="AL93" s="12" t="str" cm="1">
        <f t="array" ref="AL93">IFERROR(_xlfn.IFS(AND(C93="IT", H93=5,F93&gt;=90), "IT Star"), "- ")</f>
        <v xml:space="preserve">- </v>
      </c>
      <c r="AM93" s="11" t="str" cm="1">
        <f t="array" ref="AM93">IFERROR(_xlfn.IFS(OR(C93="Finance",C93="HR"),"Administration")," - ")</f>
        <v xml:space="preserve"> - </v>
      </c>
      <c r="AN93" s="11" t="str" cm="1">
        <f t="array" ref="AN93">IFERROR(_xlfn.IFS(AND(E93&gt;100000,I93="Yes", H93&gt;=4), " Employee of Month"),"- ")</f>
        <v xml:space="preserve">- </v>
      </c>
    </row>
    <row r="94" spans="1:40" ht="15.6" x14ac:dyDescent="0.3">
      <c r="A94" t="s">
        <v>50</v>
      </c>
      <c r="B94" t="s">
        <v>19</v>
      </c>
      <c r="C94" t="s">
        <v>20</v>
      </c>
      <c r="D94">
        <v>13189</v>
      </c>
      <c r="E94">
        <v>103000</v>
      </c>
      <c r="F94">
        <v>96</v>
      </c>
      <c r="G94">
        <v>3</v>
      </c>
      <c r="H94">
        <v>5</v>
      </c>
      <c r="I94" t="s">
        <v>17</v>
      </c>
      <c r="J94" t="s">
        <v>13</v>
      </c>
      <c r="K94" t="str">
        <f t="shared" si="25"/>
        <v>High</v>
      </c>
      <c r="L94" t="str">
        <f t="shared" si="22"/>
        <v>Excellent</v>
      </c>
      <c r="M94" t="str">
        <f t="shared" si="23"/>
        <v>Working</v>
      </c>
      <c r="N94" t="str">
        <f t="shared" si="24"/>
        <v>Bonus</v>
      </c>
      <c r="O94" t="str">
        <f t="shared" si="26"/>
        <v>Junior</v>
      </c>
      <c r="P94" t="str">
        <f t="shared" si="27"/>
        <v>Outstanding</v>
      </c>
      <c r="Q94" t="str">
        <f t="shared" si="28"/>
        <v>Not Achieved</v>
      </c>
      <c r="R94" t="str">
        <f t="shared" si="29"/>
        <v>Other Team</v>
      </c>
      <c r="S94" t="str">
        <f t="shared" si="30"/>
        <v>OK</v>
      </c>
      <c r="T94" t="str">
        <f>IF(Employee_Data!F94&lt;85,"Warning","Good")</f>
        <v>Good</v>
      </c>
      <c r="U94" t="str">
        <f t="shared" si="31"/>
        <v>Excellent</v>
      </c>
      <c r="V94" t="str">
        <f t="shared" si="32"/>
        <v>Excellent</v>
      </c>
      <c r="W94" t="str">
        <f t="shared" si="33"/>
        <v>Outstanding</v>
      </c>
      <c r="X94" t="str">
        <f t="shared" si="34"/>
        <v>Beginner</v>
      </c>
      <c r="Y94" t="str">
        <f t="shared" si="35"/>
        <v>Gold</v>
      </c>
      <c r="Z94" t="str">
        <f t="shared" si="36"/>
        <v>A</v>
      </c>
      <c r="AA94" t="str">
        <f t="shared" si="37"/>
        <v>Perfect</v>
      </c>
      <c r="AB94" t="str">
        <f t="shared" si="38"/>
        <v>Mid</v>
      </c>
      <c r="AC94" t="str">
        <f t="shared" si="39"/>
        <v>Excellent</v>
      </c>
      <c r="AD94" t="str">
        <f t="shared" si="40"/>
        <v>Good</v>
      </c>
      <c r="AE94" t="str" cm="1">
        <f t="array" ref="AE94">_xlfn.IFS(AND(D94&gt;9000, F94&gt;95), "Eligible Bonus", TRUE, "Not Eligible")</f>
        <v>Eligible Bonus</v>
      </c>
      <c r="AF94" s="11" t="str" cm="1">
        <f t="array" ref="AF94">IFERROR(_xlfn.IFS(AND(C94="Sales", E94&gt;120000), "Top Sales"),"- ")</f>
        <v xml:space="preserve">- </v>
      </c>
      <c r="AG94" s="11" t="str" cm="1">
        <f t="array" ref="AG94">IFERROR(_xlfn.IFS(AND(G94&gt;5, H94&gt;=4), "Promotion"),"- ")</f>
        <v xml:space="preserve">- </v>
      </c>
      <c r="AH94" s="11" t="str" cm="1">
        <f t="array" ref="AH94">IFERROR(_xlfn.IFS(OR(D94&gt;7000, F94&gt;85), "Review Required")," - ")</f>
        <v>Review Required</v>
      </c>
      <c r="AI94" s="11" t="str" cm="1">
        <f t="array" ref="AI94">IFERROR(_xlfn.IFS(OR(J94="Inactive", F94&gt;80), "HR Action")," - ")</f>
        <v>HR Action</v>
      </c>
      <c r="AJ94" s="11" t="str" cm="1">
        <f t="array" ref="AJ94">IFERROR(_xlfn.IFS(D94&gt;=12000,"High",D94&gt;=9000,"Medium"),"Low " )</f>
        <v>High</v>
      </c>
      <c r="AK94" t="str" cm="1">
        <f t="array" ref="AK94">IFERROR(_xlfn.IFS(F94&gt;=95,"Excellent",F94&gt;=90,"Good"),"Poor" )</f>
        <v>Excellent</v>
      </c>
      <c r="AL94" s="12" t="str" cm="1">
        <f t="array" ref="AL94">IFERROR(_xlfn.IFS(AND(C94="IT", H94=5,F94&gt;=90), "IT Star"), "- ")</f>
        <v>IT Star</v>
      </c>
      <c r="AM94" s="11" t="str" cm="1">
        <f t="array" ref="AM94">IFERROR(_xlfn.IFS(OR(C94="Finance",C94="HR"),"Administration")," - ")</f>
        <v xml:space="preserve"> - </v>
      </c>
      <c r="AN94" s="11" t="str" cm="1">
        <f t="array" ref="AN94">IFERROR(_xlfn.IFS(AND(E94&gt;100000,I94="Yes", H94&gt;=4), " Employee of Month"),"- ")</f>
        <v xml:space="preserve">- </v>
      </c>
    </row>
    <row r="95" spans="1:40" ht="15.6" x14ac:dyDescent="0.3">
      <c r="A95" t="s">
        <v>71</v>
      </c>
      <c r="B95" t="s">
        <v>35</v>
      </c>
      <c r="C95" t="s">
        <v>23</v>
      </c>
      <c r="D95">
        <v>13240</v>
      </c>
      <c r="E95">
        <v>20000</v>
      </c>
      <c r="F95">
        <v>97</v>
      </c>
      <c r="G95">
        <v>9</v>
      </c>
      <c r="H95">
        <v>1</v>
      </c>
      <c r="I95" t="s">
        <v>12</v>
      </c>
      <c r="J95" t="s">
        <v>13</v>
      </c>
      <c r="K95" t="str">
        <f t="shared" si="25"/>
        <v>High</v>
      </c>
      <c r="L95" t="str">
        <f t="shared" si="22"/>
        <v>Excellent</v>
      </c>
      <c r="M95" t="str">
        <f t="shared" si="23"/>
        <v>Working</v>
      </c>
      <c r="N95" t="str">
        <f t="shared" si="24"/>
        <v>No Bonus</v>
      </c>
      <c r="O95" t="str">
        <f t="shared" si="26"/>
        <v>Senior</v>
      </c>
      <c r="P95" t="str">
        <f t="shared" si="27"/>
        <v>Normal</v>
      </c>
      <c r="Q95" t="str">
        <f t="shared" si="28"/>
        <v>Achieved</v>
      </c>
      <c r="R95" t="str">
        <f t="shared" si="29"/>
        <v>Other Team</v>
      </c>
      <c r="S95" t="str">
        <f t="shared" si="30"/>
        <v>OK</v>
      </c>
      <c r="T95" t="str">
        <f>IF(Employee_Data!F95&lt;85,"Warning","Good")</f>
        <v>Good</v>
      </c>
      <c r="U95" t="str">
        <f t="shared" si="31"/>
        <v>Excellent</v>
      </c>
      <c r="V95" t="str">
        <f t="shared" si="32"/>
        <v>Excellent</v>
      </c>
      <c r="W95" t="str">
        <f t="shared" si="33"/>
        <v>Needs Improvement</v>
      </c>
      <c r="X95" t="str">
        <f t="shared" si="34"/>
        <v>Experienced</v>
      </c>
      <c r="Y95" t="str">
        <f t="shared" si="35"/>
        <v>Silver</v>
      </c>
      <c r="Z95" t="str">
        <f t="shared" si="36"/>
        <v>A</v>
      </c>
      <c r="AA95" t="str">
        <f t="shared" si="37"/>
        <v>Perfect</v>
      </c>
      <c r="AB95" t="str">
        <f t="shared" si="38"/>
        <v>Expert</v>
      </c>
      <c r="AC95" t="str">
        <f t="shared" si="39"/>
        <v>Poor</v>
      </c>
      <c r="AD95" t="str">
        <f t="shared" si="40"/>
        <v>Low</v>
      </c>
      <c r="AE95" t="str" cm="1">
        <f t="array" ref="AE95">_xlfn.IFS(AND(D95&gt;9000, F95&gt;95), "Eligible Bonus", TRUE, "Not Eligible")</f>
        <v>Eligible Bonus</v>
      </c>
      <c r="AF95" s="11" t="str" cm="1">
        <f t="array" ref="AF95">IFERROR(_xlfn.IFS(AND(C95="Sales", E95&gt;120000), "Top Sales"),"- ")</f>
        <v xml:space="preserve">- </v>
      </c>
      <c r="AG95" s="11" t="str" cm="1">
        <f t="array" ref="AG95">IFERROR(_xlfn.IFS(AND(G95&gt;5, H95&gt;=4), "Promotion"),"- ")</f>
        <v xml:space="preserve">- </v>
      </c>
      <c r="AH95" s="11" t="str" cm="1">
        <f t="array" ref="AH95">IFERROR(_xlfn.IFS(OR(D95&gt;7000, F95&gt;85), "Review Required")," - ")</f>
        <v>Review Required</v>
      </c>
      <c r="AI95" s="11" t="str" cm="1">
        <f t="array" ref="AI95">IFERROR(_xlfn.IFS(OR(J95="Inactive", F95&gt;80), "HR Action")," - ")</f>
        <v>HR Action</v>
      </c>
      <c r="AJ95" s="11" t="str" cm="1">
        <f t="array" ref="AJ95">IFERROR(_xlfn.IFS(D95&gt;=12000,"High",D95&gt;=9000,"Medium"),"Low " )</f>
        <v>High</v>
      </c>
      <c r="AK95" t="str" cm="1">
        <f t="array" ref="AK95">IFERROR(_xlfn.IFS(F95&gt;=95,"Excellent",F95&gt;=90,"Good"),"Poor" )</f>
        <v>Excellent</v>
      </c>
      <c r="AL95" s="12" t="str" cm="1">
        <f t="array" ref="AL95">IFERROR(_xlfn.IFS(AND(C95="IT", H95=5,F95&gt;=90), "IT Star"), "- ")</f>
        <v xml:space="preserve">- </v>
      </c>
      <c r="AM95" s="11" t="str" cm="1">
        <f t="array" ref="AM95">IFERROR(_xlfn.IFS(OR(C95="Finance",C95="HR"),"Administration")," - ")</f>
        <v>Administration</v>
      </c>
      <c r="AN95" s="11" t="str" cm="1">
        <f t="array" ref="AN95">IFERROR(_xlfn.IFS(AND(E95&gt;100000,I95="Yes", H95&gt;=4), " Employee of Month"),"- ")</f>
        <v xml:space="preserve">- </v>
      </c>
    </row>
    <row r="96" spans="1:40" ht="15.6" x14ac:dyDescent="0.3">
      <c r="A96" t="s">
        <v>92</v>
      </c>
      <c r="B96" t="s">
        <v>47</v>
      </c>
      <c r="C96" t="s">
        <v>26</v>
      </c>
      <c r="D96">
        <v>13291</v>
      </c>
      <c r="E96">
        <v>157000</v>
      </c>
      <c r="F96">
        <v>98</v>
      </c>
      <c r="G96">
        <v>3</v>
      </c>
      <c r="H96">
        <v>2</v>
      </c>
      <c r="I96" t="s">
        <v>17</v>
      </c>
      <c r="J96" t="s">
        <v>13</v>
      </c>
      <c r="K96" t="str">
        <f t="shared" si="25"/>
        <v>High</v>
      </c>
      <c r="L96" t="str">
        <f t="shared" si="22"/>
        <v>Excellent</v>
      </c>
      <c r="M96" t="str">
        <f t="shared" si="23"/>
        <v>Working</v>
      </c>
      <c r="N96" t="str">
        <f t="shared" si="24"/>
        <v>Bonus</v>
      </c>
      <c r="O96" t="str">
        <f t="shared" si="26"/>
        <v>Junior</v>
      </c>
      <c r="P96" t="str">
        <f t="shared" si="27"/>
        <v>Normal</v>
      </c>
      <c r="Q96" t="str">
        <f t="shared" si="28"/>
        <v>Not Achieved</v>
      </c>
      <c r="R96" t="str">
        <f t="shared" si="29"/>
        <v>Other Team</v>
      </c>
      <c r="S96" t="str">
        <f t="shared" si="30"/>
        <v>OK</v>
      </c>
      <c r="T96" t="str">
        <f>IF(Employee_Data!F96&lt;85,"Warning","Good")</f>
        <v>Good</v>
      </c>
      <c r="U96" t="str">
        <f t="shared" si="31"/>
        <v>Excellent</v>
      </c>
      <c r="V96" t="str">
        <f t="shared" si="32"/>
        <v>Excellent</v>
      </c>
      <c r="W96" t="str">
        <f t="shared" si="33"/>
        <v>Needs Improvement</v>
      </c>
      <c r="X96" t="str">
        <f t="shared" si="34"/>
        <v>Beginner</v>
      </c>
      <c r="Y96" t="str">
        <f t="shared" si="35"/>
        <v>Platinum</v>
      </c>
      <c r="Z96" t="str">
        <f t="shared" si="36"/>
        <v>A</v>
      </c>
      <c r="AA96" t="str">
        <f t="shared" si="37"/>
        <v>Perfect</v>
      </c>
      <c r="AB96" t="str">
        <f t="shared" si="38"/>
        <v>Mid</v>
      </c>
      <c r="AC96" t="str">
        <f t="shared" si="39"/>
        <v>Average</v>
      </c>
      <c r="AD96" t="str">
        <f t="shared" si="40"/>
        <v>Best</v>
      </c>
      <c r="AE96" t="str" cm="1">
        <f t="array" ref="AE96">_xlfn.IFS(AND(D96&gt;9000, F96&gt;95), "Eligible Bonus", TRUE, "Not Eligible")</f>
        <v>Eligible Bonus</v>
      </c>
      <c r="AF96" s="11" t="str" cm="1">
        <f t="array" ref="AF96">IFERROR(_xlfn.IFS(AND(C96="Sales", E96&gt;120000), "Top Sales"),"- ")</f>
        <v xml:space="preserve">- </v>
      </c>
      <c r="AG96" s="11" t="str" cm="1">
        <f t="array" ref="AG96">IFERROR(_xlfn.IFS(AND(G96&gt;5, H96&gt;=4), "Promotion"),"- ")</f>
        <v xml:space="preserve">- </v>
      </c>
      <c r="AH96" s="11" t="str" cm="1">
        <f t="array" ref="AH96">IFERROR(_xlfn.IFS(OR(D96&gt;7000, F96&gt;85), "Review Required")," - ")</f>
        <v>Review Required</v>
      </c>
      <c r="AI96" s="11" t="str" cm="1">
        <f t="array" ref="AI96">IFERROR(_xlfn.IFS(OR(J96="Inactive", F96&gt;80), "HR Action")," - ")</f>
        <v>HR Action</v>
      </c>
      <c r="AJ96" s="11" t="str" cm="1">
        <f t="array" ref="AJ96">IFERROR(_xlfn.IFS(D96&gt;=12000,"High",D96&gt;=9000,"Medium"),"Low " )</f>
        <v>High</v>
      </c>
      <c r="AK96" t="str" cm="1">
        <f t="array" ref="AK96">IFERROR(_xlfn.IFS(F96&gt;=95,"Excellent",F96&gt;=90,"Good"),"Poor" )</f>
        <v>Excellent</v>
      </c>
      <c r="AL96" s="12" t="str" cm="1">
        <f t="array" ref="AL96">IFERROR(_xlfn.IFS(AND(C96="IT", H96=5,F96&gt;=90), "IT Star"), "- ")</f>
        <v xml:space="preserve">- </v>
      </c>
      <c r="AM96" s="11" t="str" cm="1">
        <f t="array" ref="AM96">IFERROR(_xlfn.IFS(OR(C96="Finance",C96="HR"),"Administration")," - ")</f>
        <v xml:space="preserve"> - </v>
      </c>
      <c r="AN96" s="11" t="str" cm="1">
        <f t="array" ref="AN96">IFERROR(_xlfn.IFS(AND(E96&gt;100000,I96="Yes", H96&gt;=4), " Employee of Month"),"- ")</f>
        <v xml:space="preserve">- </v>
      </c>
    </row>
    <row r="97" spans="1:40" ht="15.6" x14ac:dyDescent="0.3">
      <c r="A97" t="s">
        <v>113</v>
      </c>
      <c r="B97" t="s">
        <v>28</v>
      </c>
      <c r="C97" t="s">
        <v>4</v>
      </c>
      <c r="D97">
        <v>13342</v>
      </c>
      <c r="E97">
        <v>74000</v>
      </c>
      <c r="F97">
        <v>99</v>
      </c>
      <c r="G97">
        <v>9</v>
      </c>
      <c r="H97">
        <v>3</v>
      </c>
      <c r="I97" t="s">
        <v>12</v>
      </c>
      <c r="J97" t="s">
        <v>13</v>
      </c>
      <c r="K97" t="str">
        <f t="shared" si="25"/>
        <v>High</v>
      </c>
      <c r="L97" t="str">
        <f t="shared" si="22"/>
        <v>Excellent</v>
      </c>
      <c r="M97" t="str">
        <f t="shared" si="23"/>
        <v>Working</v>
      </c>
      <c r="N97" t="str">
        <f t="shared" si="24"/>
        <v>No Bonus</v>
      </c>
      <c r="O97" t="str">
        <f t="shared" si="26"/>
        <v>Senior</v>
      </c>
      <c r="P97" t="str">
        <f t="shared" si="27"/>
        <v>Normal</v>
      </c>
      <c r="Q97" t="str">
        <f t="shared" si="28"/>
        <v>Achieved</v>
      </c>
      <c r="R97" t="str">
        <f t="shared" si="29"/>
        <v>Sales Team</v>
      </c>
      <c r="S97" t="str">
        <f t="shared" si="30"/>
        <v>OK</v>
      </c>
      <c r="T97" t="str">
        <f>IF(Employee_Data!F97&lt;85,"Warning","Good")</f>
        <v>Good</v>
      </c>
      <c r="U97" t="str">
        <f t="shared" si="31"/>
        <v>Excellent</v>
      </c>
      <c r="V97" t="str">
        <f t="shared" si="32"/>
        <v>Excellent</v>
      </c>
      <c r="W97" t="str">
        <f t="shared" si="33"/>
        <v>Good</v>
      </c>
      <c r="X97" t="str">
        <f t="shared" si="34"/>
        <v>Experienced</v>
      </c>
      <c r="Y97" t="str">
        <f t="shared" si="35"/>
        <v>Silver</v>
      </c>
      <c r="Z97" t="str">
        <f t="shared" si="36"/>
        <v>A</v>
      </c>
      <c r="AA97" t="str">
        <f t="shared" si="37"/>
        <v>Perfect</v>
      </c>
      <c r="AB97" t="str">
        <f t="shared" si="38"/>
        <v>Expert</v>
      </c>
      <c r="AC97" t="str">
        <f t="shared" si="39"/>
        <v>Average</v>
      </c>
      <c r="AD97" t="str">
        <f t="shared" si="40"/>
        <v>Low</v>
      </c>
      <c r="AE97" t="str" cm="1">
        <f t="array" ref="AE97">_xlfn.IFS(AND(D97&gt;9000, F97&gt;95), "Eligible Bonus", TRUE, "Not Eligible")</f>
        <v>Eligible Bonus</v>
      </c>
      <c r="AF97" s="11" t="str" cm="1">
        <f t="array" ref="AF97">IFERROR(_xlfn.IFS(AND(C97="Sales", E97&gt;120000), "Top Sales"),"- ")</f>
        <v xml:space="preserve">- </v>
      </c>
      <c r="AG97" s="11" t="str" cm="1">
        <f t="array" ref="AG97">IFERROR(_xlfn.IFS(AND(G97&gt;5, H97&gt;=4), "Promotion"),"- ")</f>
        <v xml:space="preserve">- </v>
      </c>
      <c r="AH97" s="11" t="str" cm="1">
        <f t="array" ref="AH97">IFERROR(_xlfn.IFS(OR(D97&gt;7000, F97&gt;85), "Review Required")," - ")</f>
        <v>Review Required</v>
      </c>
      <c r="AI97" s="11" t="str" cm="1">
        <f t="array" ref="AI97">IFERROR(_xlfn.IFS(OR(J97="Inactive", F97&gt;80), "HR Action")," - ")</f>
        <v>HR Action</v>
      </c>
      <c r="AJ97" s="11" t="str" cm="1">
        <f t="array" ref="AJ97">IFERROR(_xlfn.IFS(D97&gt;=12000,"High",D97&gt;=9000,"Medium"),"Low " )</f>
        <v>High</v>
      </c>
      <c r="AK97" t="str" cm="1">
        <f t="array" ref="AK97">IFERROR(_xlfn.IFS(F97&gt;=95,"Excellent",F97&gt;=90,"Good"),"Poor" )</f>
        <v>Excellent</v>
      </c>
      <c r="AL97" s="12" t="str" cm="1">
        <f t="array" ref="AL97">IFERROR(_xlfn.IFS(AND(C97="IT", H97=5,F97&gt;=90), "IT Star"), "- ")</f>
        <v xml:space="preserve">- </v>
      </c>
      <c r="AM97" s="11" t="str" cm="1">
        <f t="array" ref="AM97">IFERROR(_xlfn.IFS(OR(C97="Finance",C97="HR"),"Administration")," - ")</f>
        <v xml:space="preserve"> - </v>
      </c>
      <c r="AN97" s="11" t="str" cm="1">
        <f t="array" ref="AN97">IFERROR(_xlfn.IFS(AND(E97&gt;100000,I97="Yes", H97&gt;=4), " Employee of Month"),"- ")</f>
        <v xml:space="preserve">- </v>
      </c>
    </row>
    <row r="98" spans="1:40" ht="15.6" x14ac:dyDescent="0.3">
      <c r="A98" t="s">
        <v>51</v>
      </c>
      <c r="B98" t="s">
        <v>22</v>
      </c>
      <c r="C98" t="s">
        <v>23</v>
      </c>
      <c r="D98">
        <v>13620</v>
      </c>
      <c r="E98">
        <v>120000</v>
      </c>
      <c r="F98">
        <v>99</v>
      </c>
      <c r="G98">
        <v>5</v>
      </c>
      <c r="H98">
        <v>1</v>
      </c>
      <c r="I98" t="s">
        <v>12</v>
      </c>
      <c r="J98" t="s">
        <v>13</v>
      </c>
      <c r="K98" t="str">
        <f t="shared" si="25"/>
        <v>High</v>
      </c>
      <c r="L98" t="str">
        <f t="shared" si="22"/>
        <v>Excellent</v>
      </c>
      <c r="M98" t="str">
        <f t="shared" si="23"/>
        <v>Working</v>
      </c>
      <c r="N98" t="str">
        <f t="shared" si="24"/>
        <v>Bonus</v>
      </c>
      <c r="O98" t="str">
        <f t="shared" si="26"/>
        <v>Senior</v>
      </c>
      <c r="P98" t="str">
        <f t="shared" si="27"/>
        <v>Normal</v>
      </c>
      <c r="Q98" t="str">
        <f t="shared" si="28"/>
        <v>Achieved</v>
      </c>
      <c r="R98" t="str">
        <f t="shared" si="29"/>
        <v>Other Team</v>
      </c>
      <c r="S98" t="str">
        <f t="shared" si="30"/>
        <v>OK</v>
      </c>
      <c r="T98" t="str">
        <f>IF(Employee_Data!F98&lt;85,"Warning","Good")</f>
        <v>Good</v>
      </c>
      <c r="U98" t="str">
        <f t="shared" si="31"/>
        <v>Excellent</v>
      </c>
      <c r="V98" t="str">
        <f t="shared" si="32"/>
        <v>Excellent</v>
      </c>
      <c r="W98" t="str">
        <f t="shared" si="33"/>
        <v>Needs Improvement</v>
      </c>
      <c r="X98" t="str">
        <f t="shared" si="34"/>
        <v>Experienced</v>
      </c>
      <c r="Y98" t="str">
        <f t="shared" si="35"/>
        <v>Gold</v>
      </c>
      <c r="Z98" t="str">
        <f t="shared" si="36"/>
        <v>A</v>
      </c>
      <c r="AA98" t="str">
        <f t="shared" si="37"/>
        <v>Perfect</v>
      </c>
      <c r="AB98" t="str">
        <f t="shared" si="38"/>
        <v>Senior</v>
      </c>
      <c r="AC98" t="str">
        <f t="shared" si="39"/>
        <v>Poor</v>
      </c>
      <c r="AD98" t="str">
        <f t="shared" si="40"/>
        <v>Best</v>
      </c>
      <c r="AE98" t="str" cm="1">
        <f t="array" ref="AE98">_xlfn.IFS(AND(D98&gt;9000, F98&gt;95), "Eligible Bonus", TRUE, "Not Eligible")</f>
        <v>Eligible Bonus</v>
      </c>
      <c r="AF98" s="11" t="str" cm="1">
        <f t="array" ref="AF98">IFERROR(_xlfn.IFS(AND(C98="Sales", E98&gt;120000), "Top Sales"),"- ")</f>
        <v xml:space="preserve">- </v>
      </c>
      <c r="AG98" s="11" t="str" cm="1">
        <f t="array" ref="AG98">IFERROR(_xlfn.IFS(AND(G98&gt;5, H98&gt;=4), "Promotion"),"- ")</f>
        <v xml:space="preserve">- </v>
      </c>
      <c r="AH98" s="11" t="str" cm="1">
        <f t="array" ref="AH98">IFERROR(_xlfn.IFS(OR(D98&gt;7000, F98&gt;85), "Review Required")," - ")</f>
        <v>Review Required</v>
      </c>
      <c r="AI98" s="11" t="str" cm="1">
        <f t="array" ref="AI98">IFERROR(_xlfn.IFS(OR(J98="Inactive", F98&gt;80), "HR Action")," - ")</f>
        <v>HR Action</v>
      </c>
      <c r="AJ98" s="11" t="str" cm="1">
        <f t="array" ref="AJ98">IFERROR(_xlfn.IFS(D98&gt;=12000,"High",D98&gt;=9000,"Medium"),"Low " )</f>
        <v>High</v>
      </c>
      <c r="AK98" t="str" cm="1">
        <f t="array" ref="AK98">IFERROR(_xlfn.IFS(F98&gt;=95,"Excellent",F98&gt;=90,"Good"),"Poor" )</f>
        <v>Excellent</v>
      </c>
      <c r="AL98" s="12" t="str" cm="1">
        <f t="array" ref="AL98">IFERROR(_xlfn.IFS(AND(C98="IT", H98=5,F98&gt;=90), "IT Star"), "- ")</f>
        <v xml:space="preserve">- </v>
      </c>
      <c r="AM98" s="11" t="str" cm="1">
        <f t="array" ref="AM98">IFERROR(_xlfn.IFS(OR(C98="Finance",C98="HR"),"Administration")," - ")</f>
        <v>Administration</v>
      </c>
      <c r="AN98" s="11" t="str" cm="1">
        <f t="array" ref="AN98">IFERROR(_xlfn.IFS(AND(E98&gt;100000,I98="Yes", H98&gt;=4), " Employee of Month"),"- ")</f>
        <v xml:space="preserve">- </v>
      </c>
    </row>
    <row r="99" spans="1:40" ht="15.6" x14ac:dyDescent="0.3">
      <c r="A99" t="s">
        <v>72</v>
      </c>
      <c r="B99" t="s">
        <v>37</v>
      </c>
      <c r="C99" t="s">
        <v>26</v>
      </c>
      <c r="D99">
        <v>13671</v>
      </c>
      <c r="E99">
        <v>37000</v>
      </c>
      <c r="F99">
        <v>100</v>
      </c>
      <c r="G99">
        <v>11</v>
      </c>
      <c r="H99">
        <v>2</v>
      </c>
      <c r="I99" t="s">
        <v>17</v>
      </c>
      <c r="J99" t="s">
        <v>13</v>
      </c>
      <c r="K99" t="str">
        <f t="shared" si="25"/>
        <v>High</v>
      </c>
      <c r="L99" t="str">
        <f t="shared" si="22"/>
        <v>Excellent</v>
      </c>
      <c r="M99" t="str">
        <f t="shared" si="23"/>
        <v>Working</v>
      </c>
      <c r="N99" t="str">
        <f t="shared" si="24"/>
        <v>No Bonus</v>
      </c>
      <c r="O99" t="str">
        <f t="shared" si="26"/>
        <v>Senior</v>
      </c>
      <c r="P99" t="str">
        <f t="shared" si="27"/>
        <v>Normal</v>
      </c>
      <c r="Q99" t="str">
        <f t="shared" si="28"/>
        <v>Not Achieved</v>
      </c>
      <c r="R99" t="str">
        <f t="shared" si="29"/>
        <v>Other Team</v>
      </c>
      <c r="S99" t="str">
        <f t="shared" si="30"/>
        <v>OK</v>
      </c>
      <c r="T99" t="str">
        <f>IF(Employee_Data!F99&lt;85,"Warning","Good")</f>
        <v>Good</v>
      </c>
      <c r="U99" t="str">
        <f t="shared" si="31"/>
        <v>Excellent</v>
      </c>
      <c r="V99" t="str">
        <f t="shared" si="32"/>
        <v>Excellent</v>
      </c>
      <c r="W99" t="str">
        <f t="shared" si="33"/>
        <v>Needs Improvement</v>
      </c>
      <c r="X99" t="str">
        <f t="shared" si="34"/>
        <v>Exper</v>
      </c>
      <c r="Y99" t="str">
        <f t="shared" si="35"/>
        <v>Silver</v>
      </c>
      <c r="Z99" t="str">
        <f t="shared" si="36"/>
        <v>A</v>
      </c>
      <c r="AA99" t="str">
        <f t="shared" si="37"/>
        <v>Perfect</v>
      </c>
      <c r="AB99" t="str">
        <f t="shared" si="38"/>
        <v>Expert</v>
      </c>
      <c r="AC99" t="str">
        <f t="shared" si="39"/>
        <v>Average</v>
      </c>
      <c r="AD99" t="str">
        <f t="shared" si="40"/>
        <v>Low</v>
      </c>
      <c r="AE99" t="str" cm="1">
        <f t="array" ref="AE99">_xlfn.IFS(AND(D99&gt;9000, F99&gt;95), "Eligible Bonus", TRUE, "Not Eligible")</f>
        <v>Eligible Bonus</v>
      </c>
      <c r="AF99" s="11" t="str" cm="1">
        <f t="array" ref="AF99">IFERROR(_xlfn.IFS(AND(C99="Sales", E99&gt;120000), "Top Sales"),"- ")</f>
        <v xml:space="preserve">- </v>
      </c>
      <c r="AG99" s="11" t="str" cm="1">
        <f t="array" ref="AG99">IFERROR(_xlfn.IFS(AND(G99&gt;5, H99&gt;=4), "Promotion"),"- ")</f>
        <v xml:space="preserve">- </v>
      </c>
      <c r="AH99" s="11" t="str" cm="1">
        <f t="array" ref="AH99">IFERROR(_xlfn.IFS(OR(D99&gt;7000, F99&gt;85), "Review Required")," - ")</f>
        <v>Review Required</v>
      </c>
      <c r="AI99" s="11" t="str" cm="1">
        <f t="array" ref="AI99">IFERROR(_xlfn.IFS(OR(J99="Inactive", F99&gt;80), "HR Action")," - ")</f>
        <v>HR Action</v>
      </c>
      <c r="AJ99" s="11" t="str" cm="1">
        <f t="array" ref="AJ99">IFERROR(_xlfn.IFS(D99&gt;=12000,"High",D99&gt;=9000,"Medium"),"Low " )</f>
        <v>High</v>
      </c>
      <c r="AK99" t="str" cm="1">
        <f t="array" ref="AK99">IFERROR(_xlfn.IFS(F99&gt;=95,"Excellent",F99&gt;=90,"Good"),"Poor" )</f>
        <v>Excellent</v>
      </c>
      <c r="AL99" s="12" t="str" cm="1">
        <f t="array" ref="AL99">IFERROR(_xlfn.IFS(AND(C99="IT", H99=5,F99&gt;=90), "IT Star"), "- ")</f>
        <v xml:space="preserve">- </v>
      </c>
      <c r="AM99" s="11" t="str" cm="1">
        <f t="array" ref="AM99">IFERROR(_xlfn.IFS(OR(C99="Finance",C99="HR"),"Administration")," - ")</f>
        <v xml:space="preserve"> - </v>
      </c>
      <c r="AN99" s="11" t="str" cm="1">
        <f t="array" ref="AN99">IFERROR(_xlfn.IFS(AND(E99&gt;100000,I99="Yes", H99&gt;=4), " Employee of Month"),"- ")</f>
        <v xml:space="preserve">- </v>
      </c>
    </row>
    <row r="100" spans="1:40" ht="15.6" x14ac:dyDescent="0.3">
      <c r="A100" t="s">
        <v>93</v>
      </c>
      <c r="B100" t="s">
        <v>11</v>
      </c>
      <c r="C100" t="s">
        <v>4</v>
      </c>
      <c r="D100">
        <v>13722</v>
      </c>
      <c r="E100">
        <v>174000</v>
      </c>
      <c r="F100">
        <v>70</v>
      </c>
      <c r="G100">
        <v>5</v>
      </c>
      <c r="H100">
        <v>3</v>
      </c>
      <c r="I100" t="s">
        <v>12</v>
      </c>
      <c r="J100" t="s">
        <v>13</v>
      </c>
      <c r="K100" t="str">
        <f t="shared" si="25"/>
        <v>High</v>
      </c>
      <c r="L100" t="str">
        <f t="shared" si="22"/>
        <v>Needs Improvement</v>
      </c>
      <c r="M100" t="str">
        <f t="shared" si="23"/>
        <v>Working</v>
      </c>
      <c r="N100" t="str">
        <f t="shared" si="24"/>
        <v>Bonus</v>
      </c>
      <c r="O100" t="str">
        <f t="shared" si="26"/>
        <v>Senior</v>
      </c>
      <c r="P100" t="str">
        <f t="shared" si="27"/>
        <v>Normal</v>
      </c>
      <c r="Q100" t="str">
        <f t="shared" si="28"/>
        <v>Achieved</v>
      </c>
      <c r="R100" t="str">
        <f t="shared" si="29"/>
        <v>Sales Team</v>
      </c>
      <c r="S100" t="str">
        <f t="shared" si="30"/>
        <v>OK</v>
      </c>
      <c r="T100" t="str">
        <f>IF(Employee_Data!F100&lt;85,"Warning","Good")</f>
        <v>Warning</v>
      </c>
      <c r="U100" t="str">
        <f t="shared" si="31"/>
        <v>Excellent</v>
      </c>
      <c r="V100" t="str">
        <f t="shared" si="32"/>
        <v>Poor</v>
      </c>
      <c r="W100" t="str">
        <f t="shared" si="33"/>
        <v>Good</v>
      </c>
      <c r="X100" t="str">
        <f t="shared" si="34"/>
        <v>Experienced</v>
      </c>
      <c r="Y100" t="str">
        <f t="shared" si="35"/>
        <v>Platinum</v>
      </c>
      <c r="Z100" t="str">
        <f t="shared" si="36"/>
        <v>A</v>
      </c>
      <c r="AA100" t="str">
        <f t="shared" si="37"/>
        <v>Poor</v>
      </c>
      <c r="AB100" t="str">
        <f t="shared" si="38"/>
        <v>Senior</v>
      </c>
      <c r="AC100" t="str">
        <f t="shared" si="39"/>
        <v>Average</v>
      </c>
      <c r="AD100" t="str">
        <f t="shared" si="40"/>
        <v>Best</v>
      </c>
      <c r="AE100" t="str" cm="1">
        <f t="array" ref="AE100">_xlfn.IFS(AND(D100&gt;9000, F100&gt;95), "Eligible Bonus", TRUE, "Not Eligible")</f>
        <v>Not Eligible</v>
      </c>
      <c r="AF100" s="11" t="str" cm="1">
        <f t="array" ref="AF100">IFERROR(_xlfn.IFS(AND(C100="Sales", E100&gt;120000), "Top Sales"),"- ")</f>
        <v>Top Sales</v>
      </c>
      <c r="AG100" s="11" t="str" cm="1">
        <f t="array" ref="AG100">IFERROR(_xlfn.IFS(AND(G100&gt;5, H100&gt;=4), "Promotion"),"- ")</f>
        <v xml:space="preserve">- </v>
      </c>
      <c r="AH100" s="11" t="str" cm="1">
        <f t="array" ref="AH100">IFERROR(_xlfn.IFS(OR(D100&gt;7000, F100&gt;85), "Review Required")," - ")</f>
        <v>Review Required</v>
      </c>
      <c r="AI100" s="11" t="str" cm="1">
        <f t="array" ref="AI100">IFERROR(_xlfn.IFS(OR(J100="Inactive", F100&gt;80), "HR Action")," - ")</f>
        <v xml:space="preserve"> - </v>
      </c>
      <c r="AJ100" s="11" t="str" cm="1">
        <f t="array" ref="AJ100">IFERROR(_xlfn.IFS(D100&gt;=12000,"High",D100&gt;=9000,"Medium"),"Low " )</f>
        <v>High</v>
      </c>
      <c r="AK100" t="str" cm="1">
        <f t="array" ref="AK100">IFERROR(_xlfn.IFS(F100&gt;=95,"Excellent",F100&gt;=90,"Good"),"Poor" )</f>
        <v>Poor</v>
      </c>
      <c r="AL100" s="12" t="str" cm="1">
        <f t="array" ref="AL100">IFERROR(_xlfn.IFS(AND(C100="IT", H100=5,F100&gt;=90), "IT Star"), "- ")</f>
        <v xml:space="preserve">- </v>
      </c>
      <c r="AM100" s="11" t="str" cm="1">
        <f t="array" ref="AM100">IFERROR(_xlfn.IFS(OR(C100="Finance",C100="HR"),"Administration")," - ")</f>
        <v xml:space="preserve"> - </v>
      </c>
      <c r="AN100" s="11" t="str" cm="1">
        <f t="array" ref="AN100">IFERROR(_xlfn.IFS(AND(E100&gt;100000,I100="Yes", H100&gt;=4), " Employee of Month"),"- ")</f>
        <v xml:space="preserve">- </v>
      </c>
    </row>
    <row r="101" spans="1:40" ht="15.6" x14ac:dyDescent="0.3">
      <c r="A101" t="s">
        <v>114</v>
      </c>
      <c r="B101" t="s">
        <v>31</v>
      </c>
      <c r="C101" t="s">
        <v>16</v>
      </c>
      <c r="D101">
        <v>13773</v>
      </c>
      <c r="E101">
        <v>91000</v>
      </c>
      <c r="F101">
        <v>71</v>
      </c>
      <c r="G101">
        <v>11</v>
      </c>
      <c r="H101">
        <v>4</v>
      </c>
      <c r="I101" t="s">
        <v>17</v>
      </c>
      <c r="J101" t="s">
        <v>13</v>
      </c>
      <c r="K101" t="str">
        <f t="shared" si="25"/>
        <v>High</v>
      </c>
      <c r="L101" t="str">
        <f t="shared" si="22"/>
        <v>Needs Improvement</v>
      </c>
      <c r="M101" t="str">
        <f t="shared" si="23"/>
        <v>Working</v>
      </c>
      <c r="N101" t="str">
        <f t="shared" si="24"/>
        <v>No Bonus</v>
      </c>
      <c r="O101" t="str">
        <f t="shared" si="26"/>
        <v>Senior</v>
      </c>
      <c r="P101" t="str">
        <f t="shared" si="27"/>
        <v>Normal</v>
      </c>
      <c r="Q101" t="str">
        <f t="shared" si="28"/>
        <v>Not Achieved</v>
      </c>
      <c r="R101" t="str">
        <f t="shared" si="29"/>
        <v>Other Team</v>
      </c>
      <c r="S101" t="str">
        <f t="shared" si="30"/>
        <v>OK</v>
      </c>
      <c r="T101" t="str">
        <f>IF(Employee_Data!F101&lt;85,"Warning","Good")</f>
        <v>Warning</v>
      </c>
      <c r="U101" t="str">
        <f t="shared" si="31"/>
        <v>Excellent</v>
      </c>
      <c r="V101" t="str">
        <f t="shared" si="32"/>
        <v>Poor</v>
      </c>
      <c r="W101" t="str">
        <f t="shared" si="33"/>
        <v>Very Good</v>
      </c>
      <c r="X101" t="str">
        <f t="shared" si="34"/>
        <v>Exper</v>
      </c>
      <c r="Y101" t="str">
        <f t="shared" si="35"/>
        <v>Silver</v>
      </c>
      <c r="Z101" t="str">
        <f t="shared" si="36"/>
        <v>A</v>
      </c>
      <c r="AA101" t="str">
        <f t="shared" si="37"/>
        <v>Poor</v>
      </c>
      <c r="AB101" t="str">
        <f t="shared" si="38"/>
        <v>Expert</v>
      </c>
      <c r="AC101" t="str">
        <f t="shared" si="39"/>
        <v>Good</v>
      </c>
      <c r="AD101" t="str">
        <f t="shared" si="40"/>
        <v>Good</v>
      </c>
      <c r="AE101" t="str" cm="1">
        <f t="array" ref="AE101">_xlfn.IFS(AND(D101&gt;9000, F101&gt;95), "Eligible Bonus", TRUE, "Not Eligible")</f>
        <v>Not Eligible</v>
      </c>
      <c r="AF101" s="11" t="str" cm="1">
        <f t="array" ref="AF101">IFERROR(_xlfn.IFS(AND(C101="Sales", E101&gt;120000), "Top Sales"),"- ")</f>
        <v xml:space="preserve">- </v>
      </c>
      <c r="AG101" s="11" t="str" cm="1">
        <f t="array" ref="AG101">IFERROR(_xlfn.IFS(AND(G101&gt;5, H101&gt;=4), "Promotion"),"- ")</f>
        <v>Promotion</v>
      </c>
      <c r="AH101" s="11" t="str" cm="1">
        <f t="array" ref="AH101">IFERROR(_xlfn.IFS(OR(D101&gt;7000, F101&gt;85), "Review Required")," - ")</f>
        <v>Review Required</v>
      </c>
      <c r="AI101" s="11" t="str" cm="1">
        <f t="array" ref="AI101">IFERROR(_xlfn.IFS(OR(J101="Inactive", F101&gt;80), "HR Action")," - ")</f>
        <v xml:space="preserve"> - </v>
      </c>
      <c r="AJ101" s="11" t="str" cm="1">
        <f t="array" ref="AJ101">IFERROR(_xlfn.IFS(D101&gt;=12000,"High",D101&gt;=9000,"Medium"),"Low " )</f>
        <v>High</v>
      </c>
      <c r="AK101" t="str" cm="1">
        <f t="array" ref="AK101">IFERROR(_xlfn.IFS(F101&gt;=95,"Excellent",F101&gt;=90,"Good"),"Poor" )</f>
        <v>Poor</v>
      </c>
      <c r="AL101" s="12" t="str" cm="1">
        <f t="array" ref="AL101">IFERROR(_xlfn.IFS(AND(C101="IT", H101=5,F101&gt;=90), "IT Star"), "- ")</f>
        <v xml:space="preserve">- </v>
      </c>
      <c r="AM101" s="11" t="str" cm="1">
        <f t="array" ref="AM101">IFERROR(_xlfn.IFS(OR(C101="Finance",C101="HR"),"Administration")," - ")</f>
        <v>Administration</v>
      </c>
      <c r="AN101" s="11" t="str" cm="1">
        <f t="array" ref="AN101">IFERROR(_xlfn.IFS(AND(E101&gt;100000,I101="Yes", H101&gt;=4), " Employee of Month"),"- ")</f>
        <v xml:space="preserve">- </v>
      </c>
    </row>
  </sheetData>
  <autoFilter ref="A1:AN1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tabSelected="1" workbookViewId="0">
      <selection activeCell="G16" sqref="G16"/>
    </sheetView>
  </sheetViews>
  <sheetFormatPr defaultColWidth="8.77734375" defaultRowHeight="14.4" x14ac:dyDescent="0.3"/>
  <cols>
    <col min="1" max="1" width="3.21875" style="2" bestFit="1" customWidth="1"/>
    <col min="2" max="2" width="11" style="2" bestFit="1" customWidth="1"/>
    <col min="3" max="3" width="57.33203125" style="2" bestFit="1" customWidth="1"/>
    <col min="4" max="4" width="71.21875" style="2" bestFit="1" customWidth="1"/>
    <col min="5" max="16384" width="8.77734375" style="2"/>
  </cols>
  <sheetData>
    <row r="1" spans="1:4" x14ac:dyDescent="0.3">
      <c r="A1" s="4" t="s">
        <v>17</v>
      </c>
      <c r="B1" s="4" t="s">
        <v>133</v>
      </c>
      <c r="C1" s="4" t="s">
        <v>134</v>
      </c>
      <c r="D1" s="13" t="s">
        <v>208</v>
      </c>
    </row>
    <row r="2" spans="1:4" x14ac:dyDescent="0.3">
      <c r="A2" s="3">
        <v>1</v>
      </c>
      <c r="B2" s="3" t="s">
        <v>135</v>
      </c>
      <c r="C2" s="6" t="s">
        <v>136</v>
      </c>
      <c r="D2" s="14" t="s">
        <v>207</v>
      </c>
    </row>
    <row r="3" spans="1:4" x14ac:dyDescent="0.3">
      <c r="A3" s="3">
        <v>2</v>
      </c>
      <c r="B3" s="3" t="s">
        <v>135</v>
      </c>
      <c r="C3" s="6" t="s">
        <v>137</v>
      </c>
      <c r="D3" s="14" t="s">
        <v>206</v>
      </c>
    </row>
    <row r="4" spans="1:4" x14ac:dyDescent="0.3">
      <c r="A4" s="3">
        <v>3</v>
      </c>
      <c r="B4" s="3" t="s">
        <v>135</v>
      </c>
      <c r="C4" s="6" t="s">
        <v>138</v>
      </c>
      <c r="D4" s="14" t="s">
        <v>205</v>
      </c>
    </row>
    <row r="5" spans="1:4" x14ac:dyDescent="0.3">
      <c r="A5" s="3">
        <v>4</v>
      </c>
      <c r="B5" s="3" t="s">
        <v>135</v>
      </c>
      <c r="C5" s="6" t="s">
        <v>139</v>
      </c>
      <c r="D5" s="14" t="s">
        <v>204</v>
      </c>
    </row>
    <row r="6" spans="1:4" x14ac:dyDescent="0.3">
      <c r="A6" s="3">
        <v>5</v>
      </c>
      <c r="B6" s="3" t="s">
        <v>135</v>
      </c>
      <c r="C6" s="6" t="s">
        <v>140</v>
      </c>
      <c r="D6" s="14" t="s">
        <v>203</v>
      </c>
    </row>
    <row r="7" spans="1:4" x14ac:dyDescent="0.3">
      <c r="A7" s="3">
        <v>6</v>
      </c>
      <c r="B7" s="3" t="s">
        <v>135</v>
      </c>
      <c r="C7" s="6" t="s">
        <v>141</v>
      </c>
      <c r="D7" s="14" t="s">
        <v>202</v>
      </c>
    </row>
    <row r="8" spans="1:4" x14ac:dyDescent="0.3">
      <c r="A8" s="3">
        <v>7</v>
      </c>
      <c r="B8" s="3" t="s">
        <v>135</v>
      </c>
      <c r="C8" s="6" t="s">
        <v>142</v>
      </c>
      <c r="D8" s="14" t="s">
        <v>201</v>
      </c>
    </row>
    <row r="9" spans="1:4" x14ac:dyDescent="0.3">
      <c r="A9" s="3">
        <v>8</v>
      </c>
      <c r="B9" s="3" t="s">
        <v>135</v>
      </c>
      <c r="C9" s="6" t="s">
        <v>143</v>
      </c>
      <c r="D9" s="14" t="s">
        <v>200</v>
      </c>
    </row>
    <row r="10" spans="1:4" x14ac:dyDescent="0.3">
      <c r="A10" s="3">
        <v>9</v>
      </c>
      <c r="B10" s="3" t="s">
        <v>135</v>
      </c>
      <c r="C10" s="6" t="s">
        <v>144</v>
      </c>
      <c r="D10" s="14" t="s">
        <v>199</v>
      </c>
    </row>
    <row r="11" spans="1:4" x14ac:dyDescent="0.3">
      <c r="A11" s="3">
        <v>10</v>
      </c>
      <c r="B11" s="3" t="s">
        <v>135</v>
      </c>
      <c r="C11" s="6" t="s">
        <v>145</v>
      </c>
      <c r="D11" s="14" t="s">
        <v>198</v>
      </c>
    </row>
    <row r="12" spans="1:4" x14ac:dyDescent="0.3">
      <c r="A12" s="3">
        <v>11</v>
      </c>
      <c r="B12" s="3" t="s">
        <v>146</v>
      </c>
      <c r="C12" s="7" t="s">
        <v>147</v>
      </c>
      <c r="D12" s="15" t="s">
        <v>218</v>
      </c>
    </row>
    <row r="13" spans="1:4" x14ac:dyDescent="0.3">
      <c r="A13" s="3">
        <v>12</v>
      </c>
      <c r="B13" s="3" t="s">
        <v>146</v>
      </c>
      <c r="C13" s="7" t="s">
        <v>148</v>
      </c>
      <c r="D13" s="15" t="s">
        <v>217</v>
      </c>
    </row>
    <row r="14" spans="1:4" x14ac:dyDescent="0.3">
      <c r="A14" s="3">
        <v>13</v>
      </c>
      <c r="B14" s="3" t="s">
        <v>146</v>
      </c>
      <c r="C14" s="7" t="s">
        <v>149</v>
      </c>
      <c r="D14" s="15" t="s">
        <v>216</v>
      </c>
    </row>
    <row r="15" spans="1:4" x14ac:dyDescent="0.3">
      <c r="A15" s="3">
        <v>14</v>
      </c>
      <c r="B15" s="3" t="s">
        <v>146</v>
      </c>
      <c r="C15" s="7" t="s">
        <v>150</v>
      </c>
      <c r="D15" s="15" t="s">
        <v>215</v>
      </c>
    </row>
    <row r="16" spans="1:4" x14ac:dyDescent="0.3">
      <c r="A16" s="3">
        <v>15</v>
      </c>
      <c r="B16" s="3" t="s">
        <v>146</v>
      </c>
      <c r="C16" s="7" t="s">
        <v>151</v>
      </c>
      <c r="D16" s="15" t="s">
        <v>214</v>
      </c>
    </row>
    <row r="17" spans="1:4" x14ac:dyDescent="0.3">
      <c r="A17" s="3">
        <v>16</v>
      </c>
      <c r="B17" s="3" t="s">
        <v>146</v>
      </c>
      <c r="C17" s="7" t="s">
        <v>152</v>
      </c>
      <c r="D17" s="15" t="s">
        <v>213</v>
      </c>
    </row>
    <row r="18" spans="1:4" x14ac:dyDescent="0.3">
      <c r="A18" s="3">
        <v>17</v>
      </c>
      <c r="B18" s="3" t="s">
        <v>146</v>
      </c>
      <c r="C18" s="7" t="s">
        <v>153</v>
      </c>
      <c r="D18" s="15" t="s">
        <v>212</v>
      </c>
    </row>
    <row r="19" spans="1:4" x14ac:dyDescent="0.3">
      <c r="A19" s="3">
        <v>18</v>
      </c>
      <c r="B19" s="3" t="s">
        <v>146</v>
      </c>
      <c r="C19" s="7" t="s">
        <v>154</v>
      </c>
      <c r="D19" s="15" t="s">
        <v>211</v>
      </c>
    </row>
    <row r="20" spans="1:4" x14ac:dyDescent="0.3">
      <c r="A20" s="3">
        <v>19</v>
      </c>
      <c r="B20" s="3" t="s">
        <v>146</v>
      </c>
      <c r="C20" s="7" t="s">
        <v>155</v>
      </c>
      <c r="D20" s="15" t="s">
        <v>210</v>
      </c>
    </row>
    <row r="21" spans="1:4" x14ac:dyDescent="0.3">
      <c r="A21" s="3">
        <v>20</v>
      </c>
      <c r="B21" s="3" t="s">
        <v>146</v>
      </c>
      <c r="C21" s="7" t="s">
        <v>156</v>
      </c>
      <c r="D21" s="15" t="s">
        <v>209</v>
      </c>
    </row>
    <row r="22" spans="1:4" x14ac:dyDescent="0.3">
      <c r="A22" s="3">
        <v>21</v>
      </c>
      <c r="B22" s="3" t="s">
        <v>157</v>
      </c>
      <c r="C22" s="9" t="s">
        <v>158</v>
      </c>
      <c r="D22" s="16" t="s">
        <v>228</v>
      </c>
    </row>
    <row r="23" spans="1:4" x14ac:dyDescent="0.3">
      <c r="A23" s="3">
        <v>22</v>
      </c>
      <c r="B23" s="3" t="s">
        <v>157</v>
      </c>
      <c r="C23" s="9" t="s">
        <v>159</v>
      </c>
      <c r="D23" s="16" t="s">
        <v>227</v>
      </c>
    </row>
    <row r="24" spans="1:4" x14ac:dyDescent="0.3">
      <c r="A24" s="3">
        <v>23</v>
      </c>
      <c r="B24" s="3" t="s">
        <v>157</v>
      </c>
      <c r="C24" s="9" t="s">
        <v>160</v>
      </c>
      <c r="D24" s="16" t="s">
        <v>226</v>
      </c>
    </row>
    <row r="25" spans="1:4" x14ac:dyDescent="0.3">
      <c r="A25" s="3">
        <v>24</v>
      </c>
      <c r="B25" s="3" t="s">
        <v>157</v>
      </c>
      <c r="C25" s="9" t="s">
        <v>161</v>
      </c>
      <c r="D25" s="16" t="s">
        <v>225</v>
      </c>
    </row>
    <row r="26" spans="1:4" x14ac:dyDescent="0.3">
      <c r="A26" s="3">
        <v>25</v>
      </c>
      <c r="B26" s="3" t="s">
        <v>157</v>
      </c>
      <c r="C26" s="9" t="s">
        <v>162</v>
      </c>
      <c r="D26" s="16" t="s">
        <v>224</v>
      </c>
    </row>
    <row r="27" spans="1:4" x14ac:dyDescent="0.3">
      <c r="A27" s="3">
        <v>26</v>
      </c>
      <c r="B27" s="3" t="s">
        <v>157</v>
      </c>
      <c r="C27" s="9" t="s">
        <v>163</v>
      </c>
      <c r="D27" s="16" t="s">
        <v>223</v>
      </c>
    </row>
    <row r="28" spans="1:4" x14ac:dyDescent="0.3">
      <c r="A28" s="3">
        <v>27</v>
      </c>
      <c r="B28" s="3" t="s">
        <v>157</v>
      </c>
      <c r="C28" s="9" t="s">
        <v>164</v>
      </c>
      <c r="D28" s="16" t="s">
        <v>222</v>
      </c>
    </row>
    <row r="29" spans="1:4" x14ac:dyDescent="0.3">
      <c r="A29" s="3">
        <v>28</v>
      </c>
      <c r="B29" s="3" t="s">
        <v>157</v>
      </c>
      <c r="C29" s="9" t="s">
        <v>165</v>
      </c>
      <c r="D29" s="16" t="s">
        <v>221</v>
      </c>
    </row>
    <row r="30" spans="1:4" x14ac:dyDescent="0.3">
      <c r="A30" s="3">
        <v>29</v>
      </c>
      <c r="B30" s="3" t="s">
        <v>157</v>
      </c>
      <c r="C30" s="9" t="s">
        <v>166</v>
      </c>
      <c r="D30" s="16" t="s">
        <v>220</v>
      </c>
    </row>
    <row r="31" spans="1:4" x14ac:dyDescent="0.3">
      <c r="A31" s="3">
        <v>30</v>
      </c>
      <c r="B31" s="3" t="s">
        <v>157</v>
      </c>
      <c r="C31" s="9" t="s">
        <v>167</v>
      </c>
      <c r="D31" s="16" t="s">
        <v>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Employee_Data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Arwa refaie</cp:lastModifiedBy>
  <dcterms:created xsi:type="dcterms:W3CDTF">2026-08-02T18:53:49Z</dcterms:created>
  <dcterms:modified xsi:type="dcterms:W3CDTF">2026-09-01T17:16:52Z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2026-08-02T18:55:19Z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6ef9665a-b3c3-4fe0-8fb3-1a6791fbbbce</vt:lpwstr>
  </property>
  <property fmtid="{D5CDD505-2E9C-101B-9397-08002B2CF9AE}" pid="7" name="MSIP_Label_defa4170-0d19-0005-0004-bc88714345d2_ActionId">
    <vt:lpwstr>b995f111-ccf7-46b3-9da2-d51af8027f95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